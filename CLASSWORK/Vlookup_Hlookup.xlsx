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esktop\Anudip_Da\Excel\Classwork\"/>
    </mc:Choice>
  </mc:AlternateContent>
  <xr:revisionPtr revIDLastSave="0" documentId="8_{7736D9EF-4081-4BFE-8944-80D9B43889D7}" xr6:coauthVersionLast="47" xr6:coauthVersionMax="47" xr10:uidLastSave="{00000000-0000-0000-0000-000000000000}"/>
  <bookViews>
    <workbookView xWindow="-108" yWindow="-108" windowWidth="23256" windowHeight="12456" xr2:uid="{D38197A6-335B-4514-8A9C-98A88DE4E948}"/>
  </bookViews>
  <sheets>
    <sheet name="Vlookup&amp;Hlookup Classwor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2" i="1" l="1"/>
  <c r="K96" i="1"/>
  <c r="K90" i="1"/>
  <c r="J85" i="1"/>
  <c r="J81" i="1"/>
  <c r="J77" i="1"/>
  <c r="J73" i="1"/>
  <c r="L67" i="1"/>
  <c r="K57" i="1"/>
  <c r="K53" i="1"/>
  <c r="L46" i="1"/>
  <c r="L41" i="1"/>
  <c r="K36" i="1"/>
  <c r="K32" i="1"/>
  <c r="K28" i="1"/>
  <c r="L21" i="1"/>
  <c r="L16" i="1"/>
  <c r="K11" i="1"/>
  <c r="K8" i="1"/>
  <c r="K5" i="1"/>
</calcChain>
</file>

<file path=xl/sharedStrings.xml><?xml version="1.0" encoding="utf-8"?>
<sst xmlns="http://schemas.openxmlformats.org/spreadsheetml/2006/main" count="160" uniqueCount="97">
  <si>
    <t>Student ID</t>
  </si>
  <si>
    <t>Name</t>
  </si>
  <si>
    <t>Maths</t>
  </si>
  <si>
    <t>Science</t>
  </si>
  <si>
    <t>English</t>
  </si>
  <si>
    <t>S101</t>
  </si>
  <si>
    <t>Asha</t>
  </si>
  <si>
    <t>S102</t>
  </si>
  <si>
    <t>Ravi</t>
  </si>
  <si>
    <t>S103</t>
  </si>
  <si>
    <t>Meena</t>
  </si>
  <si>
    <t>S104</t>
  </si>
  <si>
    <t>Arjun</t>
  </si>
  <si>
    <t>S105</t>
  </si>
  <si>
    <t>Kiran</t>
  </si>
  <si>
    <t>1. Find Maths marks of S103.</t>
  </si>
  <si>
    <t>2. Find Science marks of S102.</t>
  </si>
  <si>
    <t>3. Find English marks of S105.</t>
  </si>
  <si>
    <t>4. If Student ID is entered in any cell, return the Name.</t>
  </si>
  <si>
    <t>5. Retrieve Science marks dynamically using Student ID in any cell.</t>
  </si>
  <si>
    <t>Marks</t>
  </si>
  <si>
    <t>Product ID</t>
  </si>
  <si>
    <t>P101</t>
  </si>
  <si>
    <t>P102</t>
  </si>
  <si>
    <t>P103</t>
  </si>
  <si>
    <t>P104</t>
  </si>
  <si>
    <t>P105</t>
  </si>
  <si>
    <t>Product Name</t>
  </si>
  <si>
    <t>Laptop</t>
  </si>
  <si>
    <t>Mouse</t>
  </si>
  <si>
    <t>Keyboard</t>
  </si>
  <si>
    <t>Monitor</t>
  </si>
  <si>
    <t>Printer</t>
  </si>
  <si>
    <t>Price</t>
  </si>
  <si>
    <t>Stock</t>
  </si>
  <si>
    <t>1. Find the Price of product P103 using HLOOKUP.</t>
  </si>
  <si>
    <t>2. Find the Stock of P104.</t>
  </si>
  <si>
    <t>3. Retrieve Product Name of P101.</t>
  </si>
  <si>
    <t>4. If Product ID is entered in any cell, return the Price.</t>
  </si>
  <si>
    <t>5. If Product ID is entered in any cell, return the Stock.</t>
  </si>
  <si>
    <t>ID</t>
  </si>
  <si>
    <t>Course</t>
  </si>
  <si>
    <t>Fees</t>
  </si>
  <si>
    <t>C101</t>
  </si>
  <si>
    <t>Rohan</t>
  </si>
  <si>
    <t>Excel</t>
  </si>
  <si>
    <t>C102</t>
  </si>
  <si>
    <t>Ananya</t>
  </si>
  <si>
    <t>Power BI</t>
  </si>
  <si>
    <t>C103</t>
  </si>
  <si>
    <t>Vikram</t>
  </si>
  <si>
    <t>SQL</t>
  </si>
  <si>
    <t>C104</t>
  </si>
  <si>
    <t>Nayan</t>
  </si>
  <si>
    <t>Python</t>
  </si>
  <si>
    <t>C105</t>
  </si>
  <si>
    <t>Aman</t>
  </si>
  <si>
    <t>Tableau</t>
  </si>
  <si>
    <t>1. Retrieve Course name for C103.</t>
  </si>
  <si>
    <t>2. Retrieve Fees for C104.</t>
  </si>
  <si>
    <t>3. If Course ID entered in any cell, display Name.</t>
  </si>
  <si>
    <t>4. If Course ID entered in any cell, display Fees.</t>
  </si>
  <si>
    <t>Emp ID</t>
  </si>
  <si>
    <t>Department</t>
  </si>
  <si>
    <t>Salary</t>
  </si>
  <si>
    <t>City</t>
  </si>
  <si>
    <t>E101</t>
  </si>
  <si>
    <t>Amit</t>
  </si>
  <si>
    <t>HR</t>
  </si>
  <si>
    <t>Delhi</t>
  </si>
  <si>
    <t>E102</t>
  </si>
  <si>
    <t>Neha</t>
  </si>
  <si>
    <t>IT</t>
  </si>
  <si>
    <t>Mumbai</t>
  </si>
  <si>
    <t>E103</t>
  </si>
  <si>
    <t>Rahul</t>
  </si>
  <si>
    <t>Finance</t>
  </si>
  <si>
    <t>Kolkata</t>
  </si>
  <si>
    <t>E104</t>
  </si>
  <si>
    <t>Priya</t>
  </si>
  <si>
    <t>Bangalore</t>
  </si>
  <si>
    <t>E105</t>
  </si>
  <si>
    <t>Marketing</t>
  </si>
  <si>
    <t>Pune</t>
  </si>
  <si>
    <t>E106</t>
  </si>
  <si>
    <t>Riya</t>
  </si>
  <si>
    <t>E107</t>
  </si>
  <si>
    <t>Karan</t>
  </si>
  <si>
    <t>E108</t>
  </si>
  <si>
    <t>Sneha</t>
  </si>
  <si>
    <t>Chennai</t>
  </si>
  <si>
    <t>1. Find the Name of employee with Emp ID E104 using VLOOKUP.</t>
  </si>
  <si>
    <t>2. Find the Department of employee E103.</t>
  </si>
  <si>
    <t>3. Find the Salary of employee E108.</t>
  </si>
  <si>
    <t>4. Find the City of employee E105.</t>
  </si>
  <si>
    <t>5. If Emp ID is entered in any cell, retrieve the Salary automatically.</t>
  </si>
  <si>
    <t>6. If Emp ID is entered in any cell, retrieve the Department.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</si>
</sst>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Aptos Narrow"/>
      <charset val="1"/>
    </font>
    <font>
      <sz val="11"/>
      <name val="Aptos Narrow"/>
      <charset val="1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3" fillId="2" borderId="2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5" fillId="0" borderId="0" xfId="1" applyFont="1"/>
    <xf numFmtId="0" fontId="1" fillId="0" borderId="0" xfId="0" applyFont="1"/>
    <xf numFmtId="0" fontId="3" fillId="2" borderId="1" xfId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</cellXfs>
  <cellStyles count="2">
    <cellStyle name="Normal" xfId="0" builtinId="0"/>
    <cellStyle name="Normal 2" xfId="1" xr:uid="{5EEAD8D2-9A0A-4E0E-809C-9C6C2E7700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7C88-1C12-484F-9B7D-19BF2EC567AB}">
  <dimension ref="A3:S96"/>
  <sheetViews>
    <sheetView tabSelected="1" topLeftCell="A4" zoomScale="113" zoomScaleNormal="160" workbookViewId="0">
      <selection activeCell="M65" sqref="M65"/>
    </sheetView>
  </sheetViews>
  <sheetFormatPr defaultRowHeight="14.4"/>
  <cols>
    <col min="1" max="1" width="15.109375" bestFit="1" customWidth="1"/>
    <col min="2" max="2" width="6.77734375" bestFit="1" customWidth="1"/>
    <col min="3" max="3" width="12.5546875" bestFit="1" customWidth="1"/>
    <col min="4" max="4" width="7.109375" bestFit="1" customWidth="1"/>
    <col min="5" max="5" width="10.21875" bestFit="1" customWidth="1"/>
    <col min="6" max="6" width="7" bestFit="1" customWidth="1"/>
    <col min="7" max="7" width="5.77734375" bestFit="1" customWidth="1"/>
    <col min="11" max="11" width="11.109375" bestFit="1" customWidth="1"/>
    <col min="12" max="12" width="9.109375" customWidth="1"/>
  </cols>
  <sheetData>
    <row r="3" spans="1:1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J3" s="5" t="s">
        <v>15</v>
      </c>
    </row>
    <row r="4" spans="1:12">
      <c r="A4" s="4" t="s">
        <v>5</v>
      </c>
      <c r="B4" s="4" t="s">
        <v>6</v>
      </c>
      <c r="C4" s="4">
        <v>78</v>
      </c>
      <c r="D4" s="4">
        <v>82</v>
      </c>
      <c r="E4" s="4">
        <v>74</v>
      </c>
      <c r="K4" t="s">
        <v>20</v>
      </c>
    </row>
    <row r="5" spans="1:12">
      <c r="A5" s="4" t="s">
        <v>7</v>
      </c>
      <c r="B5" s="4" t="s">
        <v>8</v>
      </c>
      <c r="C5" s="4">
        <v>65</v>
      </c>
      <c r="D5" s="4">
        <v>70</v>
      </c>
      <c r="E5" s="4">
        <v>68</v>
      </c>
      <c r="K5">
        <f>VLOOKUP(A6,A4:C8,3,0)</f>
        <v>88</v>
      </c>
    </row>
    <row r="6" spans="1:12">
      <c r="A6" s="4" t="s">
        <v>9</v>
      </c>
      <c r="B6" s="4" t="s">
        <v>10</v>
      </c>
      <c r="C6" s="4">
        <v>88</v>
      </c>
      <c r="D6" s="4">
        <v>91</v>
      </c>
      <c r="E6" s="4">
        <v>85</v>
      </c>
    </row>
    <row r="7" spans="1:12">
      <c r="A7" s="4" t="s">
        <v>11</v>
      </c>
      <c r="B7" s="4" t="s">
        <v>12</v>
      </c>
      <c r="C7" s="4">
        <v>72</v>
      </c>
      <c r="D7" s="4">
        <v>75</v>
      </c>
      <c r="E7" s="4">
        <v>70</v>
      </c>
      <c r="J7" s="5" t="s">
        <v>16</v>
      </c>
    </row>
    <row r="8" spans="1:12">
      <c r="A8" s="4" t="s">
        <v>13</v>
      </c>
      <c r="B8" s="4" t="s">
        <v>14</v>
      </c>
      <c r="C8" s="4">
        <v>90</v>
      </c>
      <c r="D8" s="4">
        <v>93</v>
      </c>
      <c r="E8" s="4">
        <v>89</v>
      </c>
      <c r="K8">
        <f>VLOOKUP(A5,A4:D8,4,0)</f>
        <v>70</v>
      </c>
    </row>
    <row r="10" spans="1:12">
      <c r="J10" s="5" t="s">
        <v>17</v>
      </c>
    </row>
    <row r="11" spans="1:12">
      <c r="K11">
        <f>VLOOKUP(A8,A4:E8,5,0)</f>
        <v>89</v>
      </c>
    </row>
    <row r="13" spans="1:12">
      <c r="J13" s="5" t="s">
        <v>18</v>
      </c>
      <c r="K13" s="6"/>
    </row>
    <row r="15" spans="1:12">
      <c r="F15" s="3" t="s">
        <v>5</v>
      </c>
      <c r="K15" s="2" t="s">
        <v>0</v>
      </c>
      <c r="L15" s="2" t="s">
        <v>1</v>
      </c>
    </row>
    <row r="16" spans="1:12">
      <c r="F16" s="3" t="s">
        <v>7</v>
      </c>
      <c r="K16" t="s">
        <v>9</v>
      </c>
      <c r="L16" t="str">
        <f>VLOOKUP(K16,A4:B8,2,0)</f>
        <v>Meena</v>
      </c>
    </row>
    <row r="17" spans="1:12">
      <c r="F17" s="3" t="s">
        <v>9</v>
      </c>
    </row>
    <row r="18" spans="1:12">
      <c r="F18" s="3" t="s">
        <v>11</v>
      </c>
      <c r="J18" s="5" t="s">
        <v>19</v>
      </c>
    </row>
    <row r="19" spans="1:12">
      <c r="F19" s="3" t="s">
        <v>13</v>
      </c>
    </row>
    <row r="20" spans="1:12">
      <c r="K20" s="2" t="s">
        <v>0</v>
      </c>
      <c r="L20" s="1" t="s">
        <v>3</v>
      </c>
    </row>
    <row r="21" spans="1:12">
      <c r="K21" t="s">
        <v>9</v>
      </c>
      <c r="L21">
        <f>VLOOKUP(K21,A4:D8,4,0)</f>
        <v>91</v>
      </c>
    </row>
    <row r="24" spans="1:12">
      <c r="A24" s="7" t="s">
        <v>21</v>
      </c>
      <c r="B24" s="7" t="s">
        <v>22</v>
      </c>
      <c r="C24" s="7" t="s">
        <v>23</v>
      </c>
      <c r="D24" s="7" t="s">
        <v>24</v>
      </c>
      <c r="E24" s="7" t="s">
        <v>25</v>
      </c>
      <c r="F24" s="7" t="s">
        <v>26</v>
      </c>
    </row>
    <row r="25" spans="1:12">
      <c r="A25" s="7" t="s">
        <v>27</v>
      </c>
      <c r="B25" s="8" t="s">
        <v>28</v>
      </c>
      <c r="C25" s="8" t="s">
        <v>29</v>
      </c>
      <c r="D25" s="8" t="s">
        <v>30</v>
      </c>
      <c r="E25" s="8" t="s">
        <v>31</v>
      </c>
      <c r="F25" s="8" t="s">
        <v>32</v>
      </c>
    </row>
    <row r="26" spans="1:12">
      <c r="A26" s="7" t="s">
        <v>33</v>
      </c>
      <c r="B26" s="8">
        <v>55000</v>
      </c>
      <c r="C26" s="8">
        <v>500</v>
      </c>
      <c r="D26" s="8">
        <v>1200</v>
      </c>
      <c r="E26" s="8">
        <v>9000</v>
      </c>
      <c r="F26" s="8">
        <v>7000</v>
      </c>
      <c r="J26" s="5" t="s">
        <v>35</v>
      </c>
    </row>
    <row r="27" spans="1:12">
      <c r="A27" s="7" t="s">
        <v>34</v>
      </c>
      <c r="B27" s="8">
        <v>25</v>
      </c>
      <c r="C27" s="8">
        <v>150</v>
      </c>
      <c r="D27" s="8">
        <v>80</v>
      </c>
      <c r="E27" s="8">
        <v>40</v>
      </c>
      <c r="F27" s="8">
        <v>35</v>
      </c>
    </row>
    <row r="28" spans="1:12">
      <c r="K28">
        <f>HLOOKUP(D24,A24:D27,3,0)</f>
        <v>1200</v>
      </c>
    </row>
    <row r="30" spans="1:12">
      <c r="J30" s="5" t="s">
        <v>36</v>
      </c>
    </row>
    <row r="32" spans="1:12">
      <c r="K32">
        <f>HLOOKUP(E24,A24:E27,4,0)</f>
        <v>40</v>
      </c>
    </row>
    <row r="34" spans="2:12">
      <c r="J34" s="5" t="s">
        <v>37</v>
      </c>
    </row>
    <row r="36" spans="2:12">
      <c r="B36" s="9" t="s">
        <v>21</v>
      </c>
      <c r="C36" s="9" t="s">
        <v>22</v>
      </c>
      <c r="D36" s="9" t="s">
        <v>23</v>
      </c>
      <c r="E36" s="9" t="s">
        <v>24</v>
      </c>
      <c r="F36" s="9" t="s">
        <v>25</v>
      </c>
      <c r="G36" s="9" t="s">
        <v>26</v>
      </c>
      <c r="K36" t="str">
        <f>HLOOKUP(B24,A24:B27,2,0)</f>
        <v>Laptop</v>
      </c>
    </row>
    <row r="38" spans="2:12">
      <c r="J38" s="5" t="s">
        <v>38</v>
      </c>
    </row>
    <row r="40" spans="2:12">
      <c r="K40" s="9" t="s">
        <v>21</v>
      </c>
      <c r="L40" s="9" t="s">
        <v>33</v>
      </c>
    </row>
    <row r="41" spans="2:12">
      <c r="K41" t="s">
        <v>25</v>
      </c>
      <c r="L41">
        <f>HLOOKUP(K41,A24:F26,3,0)</f>
        <v>9000</v>
      </c>
    </row>
    <row r="43" spans="2:12">
      <c r="J43" s="5" t="s">
        <v>39</v>
      </c>
    </row>
    <row r="45" spans="2:12">
      <c r="K45" s="9" t="s">
        <v>21</v>
      </c>
      <c r="L45" s="9" t="s">
        <v>34</v>
      </c>
    </row>
    <row r="46" spans="2:12">
      <c r="K46" t="s">
        <v>23</v>
      </c>
      <c r="L46">
        <f>HLOOKUP(K46,A24:F27,4,0)</f>
        <v>150</v>
      </c>
    </row>
    <row r="49" spans="1:19">
      <c r="A49" s="10" t="s">
        <v>40</v>
      </c>
      <c r="B49" s="10" t="s">
        <v>1</v>
      </c>
      <c r="C49" s="10" t="s">
        <v>41</v>
      </c>
      <c r="D49" s="10" t="s">
        <v>42</v>
      </c>
    </row>
    <row r="50" spans="1:19">
      <c r="A50" s="11" t="s">
        <v>43</v>
      </c>
      <c r="B50" s="11" t="s">
        <v>44</v>
      </c>
      <c r="C50" s="11" t="s">
        <v>45</v>
      </c>
      <c r="D50" s="11">
        <v>3000</v>
      </c>
    </row>
    <row r="51" spans="1:19">
      <c r="A51" s="11" t="s">
        <v>46</v>
      </c>
      <c r="B51" s="11" t="s">
        <v>47</v>
      </c>
      <c r="C51" s="11" t="s">
        <v>48</v>
      </c>
      <c r="D51" s="11">
        <v>5000</v>
      </c>
      <c r="J51" s="5" t="s">
        <v>58</v>
      </c>
    </row>
    <row r="52" spans="1:19">
      <c r="A52" s="11" t="s">
        <v>49</v>
      </c>
      <c r="B52" s="11" t="s">
        <v>50</v>
      </c>
      <c r="C52" s="11" t="s">
        <v>51</v>
      </c>
      <c r="D52" s="11">
        <v>4000</v>
      </c>
      <c r="S52" t="s">
        <v>54</v>
      </c>
    </row>
    <row r="53" spans="1:19">
      <c r="A53" s="11" t="s">
        <v>52</v>
      </c>
      <c r="B53" s="11" t="s">
        <v>53</v>
      </c>
      <c r="C53" s="11" t="s">
        <v>54</v>
      </c>
      <c r="D53" s="11">
        <v>6000</v>
      </c>
      <c r="K53" t="str">
        <f>VLOOKUP(A52,A49:C54,3,0)</f>
        <v>SQL</v>
      </c>
    </row>
    <row r="54" spans="1:19">
      <c r="A54" s="11" t="s">
        <v>55</v>
      </c>
      <c r="B54" s="11" t="s">
        <v>56</v>
      </c>
      <c r="C54" s="11" t="s">
        <v>57</v>
      </c>
      <c r="D54" s="11">
        <v>4500</v>
      </c>
    </row>
    <row r="55" spans="1:19">
      <c r="J55" s="5" t="s">
        <v>59</v>
      </c>
    </row>
    <row r="57" spans="1:19">
      <c r="K57">
        <f>VLOOKUP(A53,A49:D54,4,0)</f>
        <v>6000</v>
      </c>
    </row>
    <row r="59" spans="1:19">
      <c r="C59" s="17" t="s">
        <v>43</v>
      </c>
      <c r="E59" s="13" t="s">
        <v>45</v>
      </c>
      <c r="J59" s="5" t="s">
        <v>60</v>
      </c>
    </row>
    <row r="60" spans="1:19">
      <c r="C60" s="17" t="s">
        <v>46</v>
      </c>
      <c r="E60" s="13" t="s">
        <v>48</v>
      </c>
    </row>
    <row r="61" spans="1:19">
      <c r="C61" s="17" t="s">
        <v>49</v>
      </c>
      <c r="E61" s="13" t="s">
        <v>51</v>
      </c>
      <c r="K61" s="16" t="s">
        <v>40</v>
      </c>
      <c r="L61" s="12" t="s">
        <v>1</v>
      </c>
    </row>
    <row r="62" spans="1:19">
      <c r="C62" s="17" t="s">
        <v>52</v>
      </c>
      <c r="E62" s="13" t="s">
        <v>54</v>
      </c>
      <c r="K62" t="s">
        <v>52</v>
      </c>
      <c r="L62" t="str">
        <f>VLOOKUP(K62,A49:B54,2,0)</f>
        <v>Nayan</v>
      </c>
    </row>
    <row r="63" spans="1:19">
      <c r="C63" s="17" t="s">
        <v>55</v>
      </c>
      <c r="E63" s="13" t="s">
        <v>57</v>
      </c>
    </row>
    <row r="64" spans="1:19">
      <c r="J64" s="5" t="s">
        <v>61</v>
      </c>
    </row>
    <row r="66" spans="1:12">
      <c r="K66" s="12" t="s">
        <v>41</v>
      </c>
      <c r="L66" s="12" t="s">
        <v>42</v>
      </c>
    </row>
    <row r="67" spans="1:12">
      <c r="K67" t="s">
        <v>54</v>
      </c>
      <c r="L67">
        <f>VLOOKUP(K67,C49:D54,2,0)</f>
        <v>6000</v>
      </c>
    </row>
    <row r="69" spans="1:12">
      <c r="A69" s="14" t="s">
        <v>62</v>
      </c>
      <c r="B69" s="14" t="s">
        <v>1</v>
      </c>
      <c r="C69" s="14" t="s">
        <v>63</v>
      </c>
      <c r="D69" s="14" t="s">
        <v>64</v>
      </c>
      <c r="E69" s="14" t="s">
        <v>65</v>
      </c>
    </row>
    <row r="70" spans="1:12">
      <c r="A70" s="15" t="s">
        <v>66</v>
      </c>
      <c r="B70" s="15" t="s">
        <v>67</v>
      </c>
      <c r="C70" s="15" t="s">
        <v>68</v>
      </c>
      <c r="D70" s="15">
        <v>35000</v>
      </c>
      <c r="E70" s="15" t="s">
        <v>69</v>
      </c>
    </row>
    <row r="71" spans="1:12">
      <c r="A71" s="15" t="s">
        <v>70</v>
      </c>
      <c r="B71" s="15" t="s">
        <v>71</v>
      </c>
      <c r="C71" s="15" t="s">
        <v>72</v>
      </c>
      <c r="D71" s="15">
        <v>50000</v>
      </c>
      <c r="E71" s="15" t="s">
        <v>73</v>
      </c>
      <c r="I71" s="5" t="s">
        <v>91</v>
      </c>
    </row>
    <row r="72" spans="1:12">
      <c r="A72" s="15" t="s">
        <v>74</v>
      </c>
      <c r="B72" s="15" t="s">
        <v>75</v>
      </c>
      <c r="C72" s="15" t="s">
        <v>76</v>
      </c>
      <c r="D72" s="15">
        <v>45000</v>
      </c>
      <c r="E72" s="15" t="s">
        <v>77</v>
      </c>
    </row>
    <row r="73" spans="1:12">
      <c r="A73" s="15" t="s">
        <v>78</v>
      </c>
      <c r="B73" s="15" t="s">
        <v>79</v>
      </c>
      <c r="C73" s="15" t="s">
        <v>72</v>
      </c>
      <c r="D73" s="15">
        <v>52000</v>
      </c>
      <c r="E73" s="15" t="s">
        <v>80</v>
      </c>
      <c r="J73" t="str">
        <f>VLOOKUP(A73,A69:B77,2,0)</f>
        <v>Priya</v>
      </c>
    </row>
    <row r="74" spans="1:12">
      <c r="A74" s="15" t="s">
        <v>81</v>
      </c>
      <c r="B74" s="15" t="s">
        <v>12</v>
      </c>
      <c r="C74" s="15" t="s">
        <v>82</v>
      </c>
      <c r="D74" s="15">
        <v>40000</v>
      </c>
      <c r="E74" s="15" t="s">
        <v>83</v>
      </c>
    </row>
    <row r="75" spans="1:12">
      <c r="A75" s="15" t="s">
        <v>84</v>
      </c>
      <c r="B75" s="15" t="s">
        <v>85</v>
      </c>
      <c r="C75" s="15" t="s">
        <v>68</v>
      </c>
      <c r="D75" s="15">
        <v>36000</v>
      </c>
      <c r="E75" s="15" t="s">
        <v>69</v>
      </c>
      <c r="I75" s="5" t="s">
        <v>92</v>
      </c>
    </row>
    <row r="76" spans="1:12">
      <c r="A76" s="15" t="s">
        <v>86</v>
      </c>
      <c r="B76" s="15" t="s">
        <v>87</v>
      </c>
      <c r="C76" s="15" t="s">
        <v>76</v>
      </c>
      <c r="D76" s="15">
        <v>47000</v>
      </c>
      <c r="E76" s="15" t="s">
        <v>73</v>
      </c>
    </row>
    <row r="77" spans="1:12">
      <c r="A77" s="15" t="s">
        <v>88</v>
      </c>
      <c r="B77" s="15" t="s">
        <v>89</v>
      </c>
      <c r="C77" s="15" t="s">
        <v>82</v>
      </c>
      <c r="D77" s="15">
        <v>42000</v>
      </c>
      <c r="E77" s="15" t="s">
        <v>90</v>
      </c>
      <c r="J77" t="str">
        <f>VLOOKUP(A72,A69:C77,3,0)</f>
        <v>Finance</v>
      </c>
    </row>
    <row r="79" spans="1:12">
      <c r="I79" s="5" t="s">
        <v>93</v>
      </c>
    </row>
    <row r="81" spans="3:11">
      <c r="J81">
        <f>VLOOKUP(A77,A69:D77,4,0)</f>
        <v>42000</v>
      </c>
    </row>
    <row r="83" spans="3:11">
      <c r="C83" s="17" t="s">
        <v>66</v>
      </c>
      <c r="I83" s="5" t="s">
        <v>94</v>
      </c>
    </row>
    <row r="84" spans="3:11">
      <c r="C84" s="17" t="s">
        <v>70</v>
      </c>
    </row>
    <row r="85" spans="3:11">
      <c r="C85" s="17" t="s">
        <v>74</v>
      </c>
      <c r="J85" t="str">
        <f>VLOOKUP(A74,A69:E77,5,0)</f>
        <v>Pune</v>
      </c>
    </row>
    <row r="86" spans="3:11">
      <c r="C86" s="17" t="s">
        <v>78</v>
      </c>
    </row>
    <row r="87" spans="3:11">
      <c r="C87" s="17" t="s">
        <v>81</v>
      </c>
      <c r="I87" s="5" t="s">
        <v>95</v>
      </c>
    </row>
    <row r="88" spans="3:11">
      <c r="C88" s="17" t="s">
        <v>84</v>
      </c>
    </row>
    <row r="89" spans="3:11">
      <c r="C89" s="17" t="s">
        <v>86</v>
      </c>
      <c r="J89" s="16" t="s">
        <v>62</v>
      </c>
      <c r="K89" s="16" t="s">
        <v>64</v>
      </c>
    </row>
    <row r="90" spans="3:11">
      <c r="C90" s="17" t="s">
        <v>88</v>
      </c>
      <c r="J90" t="s">
        <v>78</v>
      </c>
      <c r="K90">
        <f>VLOOKUP(J90,A69:D77,4,0)</f>
        <v>52000</v>
      </c>
    </row>
    <row r="93" spans="3:11">
      <c r="I93" s="5" t="s">
        <v>96</v>
      </c>
    </row>
    <row r="95" spans="3:11">
      <c r="J95" s="16" t="s">
        <v>62</v>
      </c>
      <c r="K95" s="16" t="s">
        <v>63</v>
      </c>
    </row>
    <row r="96" spans="3:11">
      <c r="J96" t="s">
        <v>84</v>
      </c>
      <c r="K96" t="str">
        <f>VLOOKUP(J96,A69:C77,3,0)</f>
        <v>HR</v>
      </c>
    </row>
  </sheetData>
  <dataValidations count="5">
    <dataValidation type="list" allowBlank="1" showInputMessage="1" showErrorMessage="1" sqref="K16 K21" xr:uid="{244F6AC8-1B01-477E-9BF9-FDB5BB142B98}">
      <formula1>$F$15:$F$19</formula1>
    </dataValidation>
    <dataValidation type="list" allowBlank="1" showInputMessage="1" showErrorMessage="1" sqref="K41 K46" xr:uid="{32CAD8AE-C89C-4D36-BE94-18B5811BDB85}">
      <formula1>$B$36:$G$36</formula1>
    </dataValidation>
    <dataValidation type="list" allowBlank="1" showInputMessage="1" showErrorMessage="1" sqref="S52 K67" xr:uid="{9DAADD61-6C13-455C-8B5A-68D2078C6837}">
      <formula1>$E$59:$E$63</formula1>
    </dataValidation>
    <dataValidation type="list" allowBlank="1" showInputMessage="1" showErrorMessage="1" sqref="J90 J96" xr:uid="{569650F7-BB1C-486D-84FA-D8B3341E3BDB}">
      <formula1>$C$83:$C$90</formula1>
    </dataValidation>
    <dataValidation type="list" allowBlank="1" showInputMessage="1" showErrorMessage="1" sqref="K62" xr:uid="{4C1D8FA3-20F5-422A-8E99-540493132760}">
      <formula1>$C$59:$C$63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Vlookup&amp;Hlookup Classwork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Bharti</dc:creator>
  <cp:lastModifiedBy>Ankita Bharti</cp:lastModifiedBy>
  <dcterms:created xsi:type="dcterms:W3CDTF">2026-08-07T08:48:01Z</dcterms:created>
  <dcterms:modified xsi:type="dcterms:W3CDTF">2026-08-10T04:23:00Z</dcterms:modified>
</cp:coreProperties>
</file>