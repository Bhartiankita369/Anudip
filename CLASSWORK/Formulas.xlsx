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esktop\Anudip_Da\Excel\"/>
    </mc:Choice>
  </mc:AlternateContent>
  <xr:revisionPtr revIDLastSave="0" documentId="8_{320FEEFB-C90B-4503-BDF5-F9CD839E93F8}" xr6:coauthVersionLast="47" xr6:coauthVersionMax="47" xr10:uidLastSave="{00000000-0000-0000-0000-000000000000}"/>
  <bookViews>
    <workbookView xWindow="-108" yWindow="-108" windowWidth="23256" windowHeight="12456" xr2:uid="{B275022F-1C1C-4C40-87FB-494BA723265E}"/>
  </bookViews>
  <sheets>
    <sheet name="Formulas" sheetId="1" r:id="rId1"/>
    <sheet name="Sheet4" sheetId="4" r:id="rId2"/>
    <sheet name="Sheet7" sheetId="7" r:id="rId3"/>
    <sheet name="Fill" sheetId="2" r:id="rId4"/>
    <sheet name="IF" sheetId="3" r:id="rId5"/>
    <sheet name="Sort" sheetId="5" r:id="rId6"/>
    <sheet name="Filter" sheetId="6" r:id="rId7"/>
  </sheets>
  <definedNames>
    <definedName name="_xlnm._FilterDatabase" localSheetId="6" hidden="1">Filter!$A$1:$U$501</definedName>
    <definedName name="_xlnm._FilterDatabase" localSheetId="4" hidden="1">IF!$A$1:$Y$501</definedName>
    <definedName name="_xlnm.Criteria" localSheetId="6">Filter!$Y$11:$Y$12</definedName>
    <definedName name="_xlnm.Extract" localSheetId="6">Filter!#REF!</definedName>
    <definedName name="_xlnm.Extract" localSheetId="2">Sheet7!$A$1:$U$1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2" i="3"/>
  <c r="AB21" i="3"/>
  <c r="AB18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2" i="3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2" i="1"/>
  <c r="P501" i="6"/>
  <c r="P500" i="6"/>
  <c r="P499" i="6"/>
  <c r="P498" i="6"/>
  <c r="P497" i="6"/>
  <c r="P496" i="6"/>
  <c r="P495" i="6"/>
  <c r="P494" i="6"/>
  <c r="P493" i="6"/>
  <c r="P492" i="6"/>
  <c r="P491" i="6"/>
  <c r="P490" i="6"/>
  <c r="P489" i="6"/>
  <c r="P488" i="6"/>
  <c r="P487" i="6"/>
  <c r="P486" i="6"/>
  <c r="P485" i="6"/>
  <c r="P484" i="6"/>
  <c r="P483" i="6"/>
  <c r="P482" i="6"/>
  <c r="P481" i="6"/>
  <c r="P480" i="6"/>
  <c r="P479" i="6"/>
  <c r="P478" i="6"/>
  <c r="P477" i="6"/>
  <c r="P476" i="6"/>
  <c r="P475" i="6"/>
  <c r="P474" i="6"/>
  <c r="P473" i="6"/>
  <c r="P472" i="6"/>
  <c r="P471" i="6"/>
  <c r="P470" i="6"/>
  <c r="P469" i="6"/>
  <c r="P468" i="6"/>
  <c r="P467" i="6"/>
  <c r="P466" i="6"/>
  <c r="P465" i="6"/>
  <c r="P464" i="6"/>
  <c r="P463" i="6"/>
  <c r="P462" i="6"/>
  <c r="P461" i="6"/>
  <c r="P460" i="6"/>
  <c r="P459" i="6"/>
  <c r="P458" i="6"/>
  <c r="P457" i="6"/>
  <c r="P456" i="6"/>
  <c r="P455" i="6"/>
  <c r="P454" i="6"/>
  <c r="P453" i="6"/>
  <c r="P452" i="6"/>
  <c r="P451" i="6"/>
  <c r="P450" i="6"/>
  <c r="P449" i="6"/>
  <c r="P448" i="6"/>
  <c r="P447" i="6"/>
  <c r="P446" i="6"/>
  <c r="P445" i="6"/>
  <c r="P444" i="6"/>
  <c r="P443" i="6"/>
  <c r="P442" i="6"/>
  <c r="P441" i="6"/>
  <c r="P440" i="6"/>
  <c r="P439" i="6"/>
  <c r="P438" i="6"/>
  <c r="P437" i="6"/>
  <c r="P436" i="6"/>
  <c r="P435" i="6"/>
  <c r="P434" i="6"/>
  <c r="P433" i="6"/>
  <c r="P432" i="6"/>
  <c r="P431" i="6"/>
  <c r="P430" i="6"/>
  <c r="P429" i="6"/>
  <c r="P428" i="6"/>
  <c r="P427" i="6"/>
  <c r="P426" i="6"/>
  <c r="P425" i="6"/>
  <c r="P424" i="6"/>
  <c r="P423" i="6"/>
  <c r="P422" i="6"/>
  <c r="P421" i="6"/>
  <c r="P420" i="6"/>
  <c r="P419" i="6"/>
  <c r="P418" i="6"/>
  <c r="P417" i="6"/>
  <c r="P416" i="6"/>
  <c r="P415" i="6"/>
  <c r="P414" i="6"/>
  <c r="P413" i="6"/>
  <c r="P412" i="6"/>
  <c r="P411" i="6"/>
  <c r="P410" i="6"/>
  <c r="P409" i="6"/>
  <c r="P408" i="6"/>
  <c r="P407" i="6"/>
  <c r="P406" i="6"/>
  <c r="P405" i="6"/>
  <c r="P404" i="6"/>
  <c r="P403" i="6"/>
  <c r="P402" i="6"/>
  <c r="P401" i="6"/>
  <c r="P400" i="6"/>
  <c r="P399" i="6"/>
  <c r="P398" i="6"/>
  <c r="P397" i="6"/>
  <c r="P396" i="6"/>
  <c r="P395" i="6"/>
  <c r="P394" i="6"/>
  <c r="P393" i="6"/>
  <c r="P392" i="6"/>
  <c r="P391" i="6"/>
  <c r="P390" i="6"/>
  <c r="P389" i="6"/>
  <c r="P388" i="6"/>
  <c r="P387" i="6"/>
  <c r="P386" i="6"/>
  <c r="P385" i="6"/>
  <c r="P384" i="6"/>
  <c r="P383" i="6"/>
  <c r="P382" i="6"/>
  <c r="P381" i="6"/>
  <c r="P380" i="6"/>
  <c r="P379" i="6"/>
  <c r="P378" i="6"/>
  <c r="P377" i="6"/>
  <c r="P376" i="6"/>
  <c r="P375" i="6"/>
  <c r="P374" i="6"/>
  <c r="P373" i="6"/>
  <c r="P372" i="6"/>
  <c r="P371" i="6"/>
  <c r="P370" i="6"/>
  <c r="P369" i="6"/>
  <c r="P368" i="6"/>
  <c r="P367" i="6"/>
  <c r="P366" i="6"/>
  <c r="P365" i="6"/>
  <c r="P364" i="6"/>
  <c r="P363" i="6"/>
  <c r="P362" i="6"/>
  <c r="P361" i="6"/>
  <c r="P360" i="6"/>
  <c r="P359" i="6"/>
  <c r="P358" i="6"/>
  <c r="P357" i="6"/>
  <c r="P356" i="6"/>
  <c r="P355" i="6"/>
  <c r="P354" i="6"/>
  <c r="P353" i="6"/>
  <c r="P352" i="6"/>
  <c r="P351" i="6"/>
  <c r="P350" i="6"/>
  <c r="P349" i="6"/>
  <c r="P348" i="6"/>
  <c r="P347" i="6"/>
  <c r="P346" i="6"/>
  <c r="P345" i="6"/>
  <c r="P344" i="6"/>
  <c r="P343" i="6"/>
  <c r="P342" i="6"/>
  <c r="P341" i="6"/>
  <c r="P340" i="6"/>
  <c r="P339" i="6"/>
  <c r="P338" i="6"/>
  <c r="P337" i="6"/>
  <c r="P336" i="6"/>
  <c r="P335" i="6"/>
  <c r="P334" i="6"/>
  <c r="P333" i="6"/>
  <c r="P332" i="6"/>
  <c r="P331" i="6"/>
  <c r="P330" i="6"/>
  <c r="P329" i="6"/>
  <c r="P328" i="6"/>
  <c r="P327" i="6"/>
  <c r="P326" i="6"/>
  <c r="P325" i="6"/>
  <c r="P324" i="6"/>
  <c r="P323" i="6"/>
  <c r="P322" i="6"/>
  <c r="P321" i="6"/>
  <c r="P320" i="6"/>
  <c r="P319" i="6"/>
  <c r="P318" i="6"/>
  <c r="P317" i="6"/>
  <c r="P316" i="6"/>
  <c r="P315" i="6"/>
  <c r="P314" i="6"/>
  <c r="P313" i="6"/>
  <c r="P312" i="6"/>
  <c r="P311" i="6"/>
  <c r="P310" i="6"/>
  <c r="P309" i="6"/>
  <c r="P308" i="6"/>
  <c r="P307" i="6"/>
  <c r="P306" i="6"/>
  <c r="P305" i="6"/>
  <c r="P304" i="6"/>
  <c r="P303" i="6"/>
  <c r="P302" i="6"/>
  <c r="P301" i="6"/>
  <c r="P300" i="6"/>
  <c r="P299" i="6"/>
  <c r="P298" i="6"/>
  <c r="P297" i="6"/>
  <c r="P296" i="6"/>
  <c r="P295" i="6"/>
  <c r="P294" i="6"/>
  <c r="P293" i="6"/>
  <c r="P292" i="6"/>
  <c r="P291" i="6"/>
  <c r="P290" i="6"/>
  <c r="P289" i="6"/>
  <c r="P288" i="6"/>
  <c r="P287" i="6"/>
  <c r="P286" i="6"/>
  <c r="P285" i="6"/>
  <c r="P284" i="6"/>
  <c r="P283" i="6"/>
  <c r="P282" i="6"/>
  <c r="P281" i="6"/>
  <c r="P280" i="6"/>
  <c r="P279" i="6"/>
  <c r="P278" i="6"/>
  <c r="P277" i="6"/>
  <c r="P276" i="6"/>
  <c r="P275" i="6"/>
  <c r="P274" i="6"/>
  <c r="P273" i="6"/>
  <c r="P272" i="6"/>
  <c r="P271" i="6"/>
  <c r="P270" i="6"/>
  <c r="P269" i="6"/>
  <c r="P268" i="6"/>
  <c r="P267" i="6"/>
  <c r="P266" i="6"/>
  <c r="P265" i="6"/>
  <c r="P264" i="6"/>
  <c r="P263" i="6"/>
  <c r="P262" i="6"/>
  <c r="P261" i="6"/>
  <c r="P260" i="6"/>
  <c r="P259" i="6"/>
  <c r="P258" i="6"/>
  <c r="P257" i="6"/>
  <c r="P256" i="6"/>
  <c r="P255" i="6"/>
  <c r="P254" i="6"/>
  <c r="P253" i="6"/>
  <c r="P252" i="6"/>
  <c r="P251" i="6"/>
  <c r="P250" i="6"/>
  <c r="P249" i="6"/>
  <c r="P248" i="6"/>
  <c r="P247" i="6"/>
  <c r="P246" i="6"/>
  <c r="P245" i="6"/>
  <c r="P244" i="6"/>
  <c r="P243" i="6"/>
  <c r="P242" i="6"/>
  <c r="P241" i="6"/>
  <c r="P240" i="6"/>
  <c r="P239" i="6"/>
  <c r="P238" i="6"/>
  <c r="P237" i="6"/>
  <c r="P236" i="6"/>
  <c r="P235" i="6"/>
  <c r="P234" i="6"/>
  <c r="P233" i="6"/>
  <c r="P232" i="6"/>
  <c r="P231" i="6"/>
  <c r="P230" i="6"/>
  <c r="P229" i="6"/>
  <c r="P228" i="6"/>
  <c r="P227" i="6"/>
  <c r="P226" i="6"/>
  <c r="P225" i="6"/>
  <c r="P224" i="6"/>
  <c r="P223" i="6"/>
  <c r="P222" i="6"/>
  <c r="P221" i="6"/>
  <c r="P220" i="6"/>
  <c r="P219" i="6"/>
  <c r="P218" i="6"/>
  <c r="P217" i="6"/>
  <c r="P216" i="6"/>
  <c r="P215" i="6"/>
  <c r="P214" i="6"/>
  <c r="P213" i="6"/>
  <c r="P212" i="6"/>
  <c r="P211" i="6"/>
  <c r="P210" i="6"/>
  <c r="P209" i="6"/>
  <c r="P208" i="6"/>
  <c r="P207" i="6"/>
  <c r="P206" i="6"/>
  <c r="P205" i="6"/>
  <c r="P204" i="6"/>
  <c r="P203" i="6"/>
  <c r="P202" i="6"/>
  <c r="P201" i="6"/>
  <c r="P200" i="6"/>
  <c r="P199" i="6"/>
  <c r="P198" i="6"/>
  <c r="P197" i="6"/>
  <c r="P196" i="6"/>
  <c r="P195" i="6"/>
  <c r="P194" i="6"/>
  <c r="P193" i="6"/>
  <c r="P192" i="6"/>
  <c r="P191" i="6"/>
  <c r="P190" i="6"/>
  <c r="P189" i="6"/>
  <c r="P188" i="6"/>
  <c r="P187" i="6"/>
  <c r="P186" i="6"/>
  <c r="P185" i="6"/>
  <c r="P184" i="6"/>
  <c r="P183" i="6"/>
  <c r="P182" i="6"/>
  <c r="P181" i="6"/>
  <c r="P180" i="6"/>
  <c r="P179" i="6"/>
  <c r="P178" i="6"/>
  <c r="P177" i="6"/>
  <c r="P176" i="6"/>
  <c r="P175" i="6"/>
  <c r="P174" i="6"/>
  <c r="P173" i="6"/>
  <c r="P172" i="6"/>
  <c r="P171" i="6"/>
  <c r="P170" i="6"/>
  <c r="P169" i="6"/>
  <c r="P168" i="6"/>
  <c r="P167" i="6"/>
  <c r="P166" i="6"/>
  <c r="P165" i="6"/>
  <c r="P164" i="6"/>
  <c r="P163" i="6"/>
  <c r="P162" i="6"/>
  <c r="P161" i="6"/>
  <c r="P160" i="6"/>
  <c r="P159" i="6"/>
  <c r="P158" i="6"/>
  <c r="P157" i="6"/>
  <c r="P156" i="6"/>
  <c r="P155" i="6"/>
  <c r="P154" i="6"/>
  <c r="P153" i="6"/>
  <c r="P152" i="6"/>
  <c r="P151" i="6"/>
  <c r="P150" i="6"/>
  <c r="P149" i="6"/>
  <c r="P148" i="6"/>
  <c r="P147" i="6"/>
  <c r="P146" i="6"/>
  <c r="P145" i="6"/>
  <c r="P144" i="6"/>
  <c r="P143" i="6"/>
  <c r="P142" i="6"/>
  <c r="P141" i="6"/>
  <c r="P140" i="6"/>
  <c r="P139" i="6"/>
  <c r="P138" i="6"/>
  <c r="P137" i="6"/>
  <c r="P136" i="6"/>
  <c r="P135" i="6"/>
  <c r="P134" i="6"/>
  <c r="P133" i="6"/>
  <c r="P132" i="6"/>
  <c r="P131" i="6"/>
  <c r="P130" i="6"/>
  <c r="P129" i="6"/>
  <c r="P128" i="6"/>
  <c r="P127" i="6"/>
  <c r="P126" i="6"/>
  <c r="P125" i="6"/>
  <c r="P124" i="6"/>
  <c r="P123" i="6"/>
  <c r="P122" i="6"/>
  <c r="P121" i="6"/>
  <c r="P120" i="6"/>
  <c r="P119" i="6"/>
  <c r="P118" i="6"/>
  <c r="P117" i="6"/>
  <c r="P116" i="6"/>
  <c r="P115" i="6"/>
  <c r="P114" i="6"/>
  <c r="P113" i="6"/>
  <c r="P112" i="6"/>
  <c r="P111" i="6"/>
  <c r="P110" i="6"/>
  <c r="P109" i="6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P62" i="6"/>
  <c r="P61" i="6"/>
  <c r="P60" i="6"/>
  <c r="P59" i="6"/>
  <c r="P58" i="6"/>
  <c r="P57" i="6"/>
  <c r="P56" i="6"/>
  <c r="P55" i="6"/>
  <c r="P54" i="6"/>
  <c r="P53" i="6"/>
  <c r="P52" i="6"/>
  <c r="P51" i="6"/>
  <c r="P50" i="6"/>
  <c r="P49" i="6"/>
  <c r="P48" i="6"/>
  <c r="P47" i="6"/>
  <c r="P46" i="6"/>
  <c r="P45" i="6"/>
  <c r="P44" i="6"/>
  <c r="P43" i="6"/>
  <c r="P42" i="6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P7" i="6"/>
  <c r="P6" i="6"/>
  <c r="P5" i="6"/>
  <c r="P4" i="6"/>
  <c r="P3" i="6"/>
  <c r="P2" i="6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2" i="3"/>
  <c r="P476" i="3"/>
  <c r="S2" i="3"/>
  <c r="AB15" i="3"/>
  <c r="AC11" i="3"/>
  <c r="AB11" i="3"/>
  <c r="P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Y33" i="1"/>
  <c r="Y29" i="1"/>
  <c r="Y26" i="1"/>
  <c r="X26" i="1"/>
  <c r="AD12" i="1"/>
  <c r="AD11" i="1"/>
  <c r="Y22" i="1"/>
  <c r="X22" i="1"/>
  <c r="Z17" i="1"/>
  <c r="X23" i="1"/>
  <c r="Y17" i="1"/>
  <c r="Y14" i="1"/>
  <c r="Y5" i="1"/>
  <c r="X8" i="1"/>
  <c r="Y11" i="1"/>
  <c r="X3" i="1"/>
  <c r="X2" i="1"/>
  <c r="S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sharedStrings.xml><?xml version="1.0" encoding="utf-8"?>
<sst xmlns="http://schemas.openxmlformats.org/spreadsheetml/2006/main" count="11504" uniqueCount="177">
  <si>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</si>
  <si>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</si>
  <si>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</si>
  <si>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</si>
  <si>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</si>
  <si>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</si>
  <si>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</si>
  <si>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</si>
  <si>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</si>
  <si>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</si>
  <si>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</si>
  <si>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</si>
  <si>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</si>
  <si>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</si>
  <si>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</si>
  <si>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</si>
  <si>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</si>
  <si>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</si>
  <si>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</si>
  <si>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</si>
  <si>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</si>
  <si>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</si>
  <si>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</si>
  <si>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</si>
  <si>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</si>
  <si>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</si>
  <si>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</si>
  <si>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</si>
  <si>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</si>
  <si>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</si>
  <si>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</si>
  <si>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</si>
  <si>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</si>
  <si>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</si>
  <si>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</si>
  <si>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</si>
  <si>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</si>
  <si>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</si>
  <si>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</si>
  <si>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</si>
  <si>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</si>
  <si>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</si>
  <si>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</si>
  <si>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</si>
  <si>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</si>
  <si>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</si>
  <si>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</si>
  <si>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</si>
  <si>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</si>
  <si>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</si>
  <si>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</si>
  <si>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</si>
  <si>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</si>
  <si>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</si>
  <si>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</si>
  <si>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</si>
  <si>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</si>
  <si>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</si>
  <si>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</si>
  <si>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</si>
  <si>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</si>
  <si>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</si>
  <si>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</si>
  <si>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</si>
  <si>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</si>
  <si>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</si>
  <si>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</si>
  <si>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</si>
  <si>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</si>
  <si>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</si>
  <si>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 Price</t>
  </si>
  <si>
    <t>Discount Amount</t>
  </si>
  <si>
    <t>Price After Discount</t>
  </si>
  <si>
    <t>Sales Status</t>
  </si>
  <si>
    <t>Sales_Status1</t>
  </si>
  <si>
    <t>Sales_Status2</t>
  </si>
  <si>
    <t>Total Unit Sold</t>
  </si>
  <si>
    <t>Unit Sold for BrandA</t>
  </si>
  <si>
    <t>Unit Sold for</t>
  </si>
  <si>
    <t>Grand Total for All</t>
  </si>
  <si>
    <t xml:space="preserve">Grand Total for </t>
  </si>
  <si>
    <t xml:space="preserve">CITY </t>
  </si>
  <si>
    <t>Total unit sold</t>
  </si>
  <si>
    <t xml:space="preserve">City </t>
  </si>
  <si>
    <t>Avg unit sold for any city</t>
  </si>
  <si>
    <t xml:space="preserve">Avg unit sold for all </t>
  </si>
  <si>
    <t>Avg Unit Sold for city/Brand</t>
  </si>
  <si>
    <t>AVG Total Sales for city/Brand</t>
  </si>
  <si>
    <t>Count unit sold for any city</t>
  </si>
  <si>
    <t>Unit sold</t>
  </si>
  <si>
    <t>&gt;5</t>
  </si>
  <si>
    <t>Count</t>
  </si>
  <si>
    <t>Name</t>
  </si>
  <si>
    <t>Grade</t>
  </si>
  <si>
    <t>Sub1</t>
  </si>
  <si>
    <t>A</t>
  </si>
  <si>
    <t>B</t>
  </si>
  <si>
    <t>C</t>
  </si>
  <si>
    <t>D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</si>
  <si>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</si>
  <si>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</si>
  <si>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</si>
  <si>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</si>
  <si>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</si>
  <si>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</si>
  <si>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</si>
  <si>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</si>
  <si>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</si>
  <si>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</si>
  <si>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</si>
  <si>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</si>
  <si>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</si>
  <si>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</si>
  <si>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</si>
  <si>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</si>
  <si>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</si>
  <si>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</si>
  <si>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</si>
  <si>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Apple</t>
  </si>
  <si>
    <t>Mango</t>
  </si>
  <si>
    <t>Banana</t>
  </si>
  <si>
    <t>Papaya</t>
  </si>
  <si>
    <t>Code</t>
  </si>
  <si>
    <t>1st 3 digit</t>
  </si>
  <si>
    <t>123-246-543</t>
  </si>
  <si>
    <t>124-567-943</t>
  </si>
  <si>
    <t>345-987-420</t>
  </si>
  <si>
    <t>230-675-864</t>
  </si>
  <si>
    <t>last 3 digit</t>
  </si>
  <si>
    <t>First Name</t>
  </si>
  <si>
    <t>Last Name</t>
  </si>
  <si>
    <t>Amit</t>
  </si>
  <si>
    <t>Rao</t>
  </si>
  <si>
    <t>Sumit</t>
  </si>
  <si>
    <t>Ray</t>
  </si>
  <si>
    <t>Ankita</t>
  </si>
  <si>
    <t>Bharti</t>
  </si>
  <si>
    <t>Harsh</t>
  </si>
  <si>
    <t>Prakash</t>
  </si>
  <si>
    <t>Full Name</t>
  </si>
  <si>
    <t>Amit Rao</t>
  </si>
  <si>
    <t>Sumit Ray</t>
  </si>
  <si>
    <t>Ankita Bharti</t>
  </si>
  <si>
    <t>Harsh Prakash</t>
  </si>
  <si>
    <t>1. If Discount % &gt; 10% Display heavy discount or normal Discount</t>
  </si>
  <si>
    <t>2.Use ifs and Classify sales into 3 categories if Net sales&gt;= 7000 then Excellent, net sales &gt;= 4000 , good, otherwise Average</t>
  </si>
  <si>
    <t>3. Find Total net sales for electronics category.</t>
  </si>
  <si>
    <t xml:space="preserve">4. Find total net sales where Product category is electronics and Sales Channel is website. </t>
  </si>
  <si>
    <t>5. Count the number of beauty product Category.</t>
  </si>
  <si>
    <t>6. Count orders where Discount % &gt; 15 %.</t>
  </si>
  <si>
    <t>Total Net Sales</t>
  </si>
  <si>
    <t>Count of Beauty</t>
  </si>
  <si>
    <t xml:space="preserve">Count of Electronics ordered cod </t>
  </si>
  <si>
    <t>Count orders Discount &gt; 15%</t>
  </si>
  <si>
    <t>&gt;15%</t>
  </si>
  <si>
    <t xml:space="preserve">8. display eligible if net sales &gt; 5000 and Discount &lt; 10% then make column status 1 </t>
  </si>
  <si>
    <t>9. display priority order for column order type column if net sales &gt; 7000 or unit sold &gt; 5 then it will display priority order or it will display normal order.</t>
  </si>
  <si>
    <t>10. Display online if the sales channel is not marketplace.</t>
  </si>
  <si>
    <t>7. Count Electronics order sold COD.</t>
  </si>
  <si>
    <t>Eligible</t>
  </si>
  <si>
    <t>Sima</t>
  </si>
  <si>
    <t>Sayar</t>
  </si>
  <si>
    <t>Gujar</t>
  </si>
  <si>
    <t># Sort color by : data&gt;sort&gt;sortvalue/sortcolor</t>
  </si>
  <si>
    <t>g</t>
  </si>
  <si>
    <t>k</t>
  </si>
  <si>
    <t>m</t>
  </si>
  <si>
    <t>p</t>
  </si>
  <si>
    <t>High</t>
  </si>
  <si>
    <t>Medium</t>
  </si>
  <si>
    <t>Low</t>
  </si>
  <si>
    <t>3&amp;4</t>
  </si>
  <si>
    <t>1.Discount Status</t>
  </si>
  <si>
    <t>2.Net Sales Status</t>
  </si>
  <si>
    <t>8.Net Sales Status1</t>
  </si>
  <si>
    <t>9.Priority order</t>
  </si>
  <si>
    <t>10.Online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</si>
</sst>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NumberFormat="1" applyBorder="1"/>
    <xf numFmtId="0" fontId="0" fillId="0" borderId="0" xfId="0" applyNumberFormat="1"/>
    <xf numFmtId="0" fontId="1" fillId="0" borderId="1" xfId="0" applyFont="1" applyFill="1" applyBorder="1"/>
    <xf numFmtId="0" fontId="1" fillId="0" borderId="2" xfId="0" applyFont="1" applyFill="1" applyBorder="1"/>
    <xf numFmtId="0" fontId="0" fillId="0" borderId="2" xfId="0" applyBorder="1"/>
    <xf numFmtId="0" fontId="1" fillId="0" borderId="3" xfId="0" applyFont="1" applyFill="1" applyBorder="1"/>
    <xf numFmtId="0" fontId="0" fillId="0" borderId="2" xfId="0" applyFont="1" applyBorder="1"/>
    <xf numFmtId="0" fontId="1" fillId="0" borderId="0" xfId="0" applyFont="1"/>
    <xf numFmtId="0" fontId="0" fillId="0" borderId="1" xfId="0" applyFont="1" applyBorder="1"/>
    <xf numFmtId="0" fontId="1" fillId="0" borderId="0" xfId="0" applyFont="1" applyFill="1" applyBorder="1"/>
    <xf numFmtId="0" fontId="0" fillId="0" borderId="0" xfId="0" applyFont="1" applyFill="1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0" xfId="0" applyFill="1"/>
    <xf numFmtId="0" fontId="0" fillId="0" borderId="0" xfId="0" applyBorder="1"/>
    <xf numFmtId="0" fontId="0" fillId="0" borderId="0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7" borderId="1" xfId="0" applyFont="1" applyFill="1" applyBorder="1"/>
    <xf numFmtId="0" fontId="0" fillId="7" borderId="1" xfId="0" applyFill="1" applyBorder="1"/>
    <xf numFmtId="0" fontId="1" fillId="8" borderId="2" xfId="0" applyFont="1" applyFill="1" applyBorder="1"/>
    <xf numFmtId="0" fontId="0" fillId="8" borderId="2" xfId="0" applyFill="1" applyBorder="1"/>
    <xf numFmtId="0" fontId="1" fillId="9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0" fillId="10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AD501"/>
  <sheetViews>
    <sheetView tabSelected="1" zoomScale="101" workbookViewId="0">
      <selection activeCell="Z4" sqref="Z4"/>
    </sheetView>
  </sheetViews>
  <sheetFormatPr defaultRowHeight="14.4" x14ac:dyDescent="0.3"/>
  <cols>
    <col min="1" max="1" width="8" style="6" bestFit="1" customWidth="1"/>
    <col min="2" max="2" width="11.33203125" bestFit="1" customWidth="1"/>
    <col min="3" max="4" width="11.1093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.77734375" style="1" bestFit="1" customWidth="1"/>
    <col min="18" max="18" width="17.77734375" bestFit="1" customWidth="1"/>
    <col min="19" max="19" width="10.88671875" style="1" bestFit="1" customWidth="1"/>
    <col min="20" max="21" width="12.44140625" style="1" bestFit="1" customWidth="1"/>
    <col min="23" max="23" width="23.33203125" bestFit="1" customWidth="1"/>
    <col min="25" max="25" width="24.88671875" bestFit="1" customWidth="1"/>
    <col min="26" max="26" width="26.77734375" bestFit="1" customWidth="1"/>
    <col min="30" max="30" width="10" bestFit="1" customWidth="1"/>
  </cols>
  <sheetData>
    <row r="1" spans="1:30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</row>
    <row r="2" spans="1:30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>
        <f>P2*N2%</f>
        <v>0</v>
      </c>
      <c r="R2" s="11">
        <f>P2-Q2</f>
        <v>19907.09</v>
      </c>
      <c r="S2" s="1" t="str">
        <f>IF(L2&gt;=5,"High","Low")</f>
        <v>High</v>
      </c>
      <c r="T2" s="1" t="str">
        <f>IF(L2&gt;5,"High",IF(L2=5,"Medium","Low"))</f>
        <v>High</v>
      </c>
      <c r="U2" s="1" t="str">
        <f>IF(L2&gt;5,"High",IF(L2=5,"Medium","Low"))</f>
        <v>High</v>
      </c>
      <c r="W2" s="3" t="s">
        <v>76</v>
      </c>
      <c r="X2" s="13">
        <f xml:space="preserve"> SUM(L2:L501)</f>
        <v>2553</v>
      </c>
      <c r="AB2" s="3" t="s">
        <v>21</v>
      </c>
      <c r="AD2" s="3" t="s">
        <v>15</v>
      </c>
    </row>
    <row r="3" spans="1:30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>
        <f t="shared" ref="Q3:Q66" si="1">P3*N3%</f>
        <v>1136.3534999999999</v>
      </c>
      <c r="R3" s="11">
        <f t="shared" ref="R3:R66" si="2">P3-Q3</f>
        <v>21590.716499999999</v>
      </c>
      <c r="S3" s="1" t="str">
        <f t="shared" ref="S3:S66" si="3">IF(L3&gt;=5,"High","Low")</f>
        <v>High</v>
      </c>
      <c r="T3" s="1" t="str">
        <f t="shared" ref="T3:T66" si="4">IF(L3&gt;5,"High",IF(L3=5,"Medium","Low"))</f>
        <v>High</v>
      </c>
      <c r="U3" s="1" t="str">
        <f t="shared" ref="U3:U66" si="5">IF(L3&gt;5,"High",IF(L3=5,"Medium","Low"))</f>
        <v>High</v>
      </c>
      <c r="W3" s="3" t="s">
        <v>77</v>
      </c>
      <c r="X3" s="13">
        <f>SUMIF(K2:K501,"BrandA",L2:L501)</f>
        <v>511</v>
      </c>
      <c r="AB3" s="3" t="s">
        <v>28</v>
      </c>
      <c r="AD3" s="3" t="s">
        <v>22</v>
      </c>
    </row>
    <row r="4" spans="1:30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>
        <f t="shared" si="1"/>
        <v>3126.9059999999999</v>
      </c>
      <c r="R4" s="11">
        <f t="shared" si="2"/>
        <v>17719.134000000002</v>
      </c>
      <c r="S4" s="1" t="str">
        <f t="shared" si="3"/>
        <v>High</v>
      </c>
      <c r="T4" s="1" t="str">
        <f t="shared" si="4"/>
        <v>High</v>
      </c>
      <c r="U4" s="1" t="str">
        <f t="shared" si="5"/>
        <v>High</v>
      </c>
      <c r="AB4" s="3" t="s">
        <v>33</v>
      </c>
      <c r="AD4" s="3" t="s">
        <v>34</v>
      </c>
    </row>
    <row r="5" spans="1:30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>
        <f t="shared" si="1"/>
        <v>151.3185</v>
      </c>
      <c r="R5" s="11">
        <f t="shared" si="2"/>
        <v>857.47149999999999</v>
      </c>
      <c r="S5" s="1" t="str">
        <f t="shared" si="3"/>
        <v>Low</v>
      </c>
      <c r="T5" s="1" t="str">
        <f t="shared" si="4"/>
        <v>Low</v>
      </c>
      <c r="U5" s="1" t="str">
        <f t="shared" si="5"/>
        <v>Low</v>
      </c>
      <c r="W5" s="3" t="s">
        <v>78</v>
      </c>
      <c r="X5" s="3" t="s">
        <v>28</v>
      </c>
      <c r="Y5" s="13">
        <f>SUMIF(K2:K501,X5,L2:L501)</f>
        <v>422</v>
      </c>
      <c r="AB5" s="3" t="s">
        <v>45</v>
      </c>
      <c r="AD5" s="3" t="s">
        <v>37</v>
      </c>
    </row>
    <row r="6" spans="1:30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>
        <f t="shared" si="1"/>
        <v>4916.058</v>
      </c>
      <c r="R6" s="11">
        <f t="shared" si="2"/>
        <v>19664.231999999996</v>
      </c>
      <c r="S6" s="1" t="str">
        <f t="shared" si="3"/>
        <v>High</v>
      </c>
      <c r="T6" s="1" t="str">
        <f t="shared" si="4"/>
        <v>High</v>
      </c>
      <c r="U6" s="1" t="str">
        <f t="shared" si="5"/>
        <v>High</v>
      </c>
      <c r="AB6" s="3" t="s">
        <v>47</v>
      </c>
      <c r="AD6" s="3" t="s">
        <v>40</v>
      </c>
    </row>
    <row r="7" spans="1:30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>
        <f t="shared" si="1"/>
        <v>956.86500000000024</v>
      </c>
      <c r="R7" s="11">
        <f t="shared" si="2"/>
        <v>8611.7850000000017</v>
      </c>
      <c r="S7" s="1" t="str">
        <f t="shared" si="3"/>
        <v>Low</v>
      </c>
      <c r="T7" s="1" t="str">
        <f t="shared" si="4"/>
        <v>Low</v>
      </c>
      <c r="U7" s="1" t="str">
        <f t="shared" si="5"/>
        <v>Low</v>
      </c>
      <c r="AD7" s="3" t="s">
        <v>46</v>
      </c>
    </row>
    <row r="8" spans="1:30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>
        <f t="shared" si="1"/>
        <v>1515.21</v>
      </c>
      <c r="R8" s="11">
        <f t="shared" si="2"/>
        <v>13636.89</v>
      </c>
      <c r="S8" s="1" t="str">
        <f t="shared" si="3"/>
        <v>High</v>
      </c>
      <c r="T8" s="1" t="str">
        <f t="shared" si="4"/>
        <v>Medium</v>
      </c>
      <c r="U8" s="1" t="str">
        <f t="shared" si="5"/>
        <v>Medium</v>
      </c>
      <c r="W8" s="3" t="s">
        <v>79</v>
      </c>
      <c r="X8" s="3">
        <f>SUMPRODUCT(L2:L501,M2:M501)</f>
        <v>5134263.8099999949</v>
      </c>
      <c r="AD8" s="3" t="s">
        <v>16</v>
      </c>
    </row>
    <row r="9" spans="1:30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>
        <f t="shared" si="1"/>
        <v>924.33199999999999</v>
      </c>
      <c r="R9" s="11">
        <f t="shared" si="2"/>
        <v>8318.9879999999994</v>
      </c>
      <c r="S9" s="1" t="str">
        <f t="shared" si="3"/>
        <v>Low</v>
      </c>
      <c r="T9" s="1" t="str">
        <f t="shared" si="4"/>
        <v>Low</v>
      </c>
      <c r="U9" s="1" t="str">
        <f t="shared" si="5"/>
        <v>Low</v>
      </c>
    </row>
    <row r="10" spans="1:30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>
        <f t="shared" si="1"/>
        <v>823.53</v>
      </c>
      <c r="R10" s="11">
        <f t="shared" si="2"/>
        <v>4666.67</v>
      </c>
      <c r="S10" s="1" t="str">
        <f t="shared" si="3"/>
        <v>High</v>
      </c>
      <c r="T10" s="1" t="str">
        <f t="shared" si="4"/>
        <v>Medium</v>
      </c>
      <c r="U10" s="1" t="str">
        <f t="shared" si="5"/>
        <v>Medium</v>
      </c>
    </row>
    <row r="11" spans="1:30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>
        <f t="shared" si="1"/>
        <v>1780.6600000000003</v>
      </c>
      <c r="R11" s="11">
        <f t="shared" si="2"/>
        <v>7122.6400000000012</v>
      </c>
      <c r="S11" s="1" t="str">
        <f t="shared" si="3"/>
        <v>High</v>
      </c>
      <c r="T11" s="1" t="str">
        <f t="shared" si="4"/>
        <v>Medium</v>
      </c>
      <c r="U11" s="1" t="str">
        <f t="shared" si="5"/>
        <v>Medium</v>
      </c>
      <c r="W11" s="3" t="s">
        <v>80</v>
      </c>
      <c r="X11" s="3" t="s">
        <v>47</v>
      </c>
      <c r="Y11" s="13">
        <f>SUMPRODUCT(L2:L501,M2:M501,--(K2:K501=X11))</f>
        <v>1149173.2900000003</v>
      </c>
      <c r="AB11">
        <v>50</v>
      </c>
      <c r="AC11">
        <v>100</v>
      </c>
      <c r="AD11" t="str">
        <f>IF(AND(AB11&gt;0,AC11&lt;50),"valid","Invalid")</f>
        <v>Invalid</v>
      </c>
    </row>
    <row r="12" spans="1:30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>
        <f t="shared" si="1"/>
        <v>0</v>
      </c>
      <c r="R12" s="11">
        <f t="shared" si="2"/>
        <v>19231.5</v>
      </c>
      <c r="S12" s="1" t="str">
        <f t="shared" si="3"/>
        <v>High</v>
      </c>
      <c r="T12" s="1" t="str">
        <f t="shared" si="4"/>
        <v>High</v>
      </c>
      <c r="U12" s="1" t="str">
        <f t="shared" si="5"/>
        <v>High</v>
      </c>
      <c r="AD12" t="str">
        <f>IF(OR(AB11&lt;90,AC11&gt;50),"Valid","Invalid")</f>
        <v>Valid</v>
      </c>
    </row>
    <row r="13" spans="1:30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>
        <f t="shared" si="1"/>
        <v>81.705000000000013</v>
      </c>
      <c r="R13" s="11">
        <f t="shared" si="2"/>
        <v>1552.3950000000002</v>
      </c>
      <c r="S13" s="1" t="str">
        <f t="shared" si="3"/>
        <v>High</v>
      </c>
      <c r="T13" s="1" t="str">
        <f t="shared" si="4"/>
        <v>High</v>
      </c>
      <c r="U13" s="1" t="str">
        <f t="shared" si="5"/>
        <v>High</v>
      </c>
      <c r="W13" s="3" t="s">
        <v>81</v>
      </c>
      <c r="X13" s="3" t="s">
        <v>10</v>
      </c>
      <c r="Y13" s="3" t="s">
        <v>82</v>
      </c>
    </row>
    <row r="14" spans="1:30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>
        <f t="shared" si="1"/>
        <v>0</v>
      </c>
      <c r="R14" s="11">
        <f t="shared" si="2"/>
        <v>25287.200000000001</v>
      </c>
      <c r="S14" s="1" t="str">
        <f t="shared" si="3"/>
        <v>High</v>
      </c>
      <c r="T14" s="1" t="str">
        <f t="shared" si="4"/>
        <v>High</v>
      </c>
      <c r="U14" s="1" t="str">
        <f t="shared" si="5"/>
        <v>High</v>
      </c>
      <c r="W14" s="3" t="s">
        <v>15</v>
      </c>
      <c r="X14" s="3" t="s">
        <v>21</v>
      </c>
      <c r="Y14" s="1">
        <f>SUMIFS(L2:L501,E2:E501,W14,K2:K501,X14)</f>
        <v>87</v>
      </c>
    </row>
    <row r="15" spans="1:30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>
        <f t="shared" si="1"/>
        <v>1289.124</v>
      </c>
      <c r="R15" s="11">
        <f t="shared" si="2"/>
        <v>7305.0360000000001</v>
      </c>
      <c r="S15" s="1" t="str">
        <f t="shared" si="3"/>
        <v>High</v>
      </c>
      <c r="T15" s="1" t="str">
        <f t="shared" si="4"/>
        <v>High</v>
      </c>
      <c r="U15" s="1" t="str">
        <f t="shared" si="5"/>
        <v>High</v>
      </c>
    </row>
    <row r="16" spans="1:30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>
        <f t="shared" si="1"/>
        <v>635.03100000000006</v>
      </c>
      <c r="R16" s="11">
        <f t="shared" si="2"/>
        <v>5715.2790000000005</v>
      </c>
      <c r="S16" s="1" t="str">
        <f t="shared" si="3"/>
        <v>High</v>
      </c>
      <c r="T16" s="1" t="str">
        <f t="shared" si="4"/>
        <v>High</v>
      </c>
      <c r="U16" s="1" t="str">
        <f t="shared" si="5"/>
        <v>High</v>
      </c>
      <c r="W16" s="7" t="s">
        <v>83</v>
      </c>
      <c r="X16" s="7" t="s">
        <v>10</v>
      </c>
      <c r="Y16" s="3" t="s">
        <v>86</v>
      </c>
      <c r="Z16" s="3" t="s">
        <v>87</v>
      </c>
    </row>
    <row r="17" spans="1:26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>
        <f t="shared" si="1"/>
        <v>238.18000000000004</v>
      </c>
      <c r="R17" s="11">
        <f t="shared" si="2"/>
        <v>4525.42</v>
      </c>
      <c r="S17" s="1" t="str">
        <f t="shared" si="3"/>
        <v>High</v>
      </c>
      <c r="T17" s="1" t="str">
        <f t="shared" si="4"/>
        <v>High</v>
      </c>
      <c r="U17" s="1" t="str">
        <f t="shared" si="5"/>
        <v>High</v>
      </c>
      <c r="W17" s="3" t="s">
        <v>15</v>
      </c>
      <c r="X17" s="3" t="s">
        <v>21</v>
      </c>
      <c r="Y17" s="13">
        <f>AVERAGEIFS(L2:L501,E2:E501,X21,K2:K501,X17)</f>
        <v>6.333333333333333</v>
      </c>
      <c r="Z17" s="13">
        <f>AVERAGEIFS(R2:R501,E2:E501,X21,K2:K501,X17)</f>
        <v>12852.885638888891</v>
      </c>
    </row>
    <row r="18" spans="1:26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>
        <f t="shared" si="1"/>
        <v>76.472999999999999</v>
      </c>
      <c r="R18" s="11">
        <f t="shared" si="2"/>
        <v>433.34699999999998</v>
      </c>
      <c r="S18" s="1" t="str">
        <f t="shared" si="3"/>
        <v>Low</v>
      </c>
      <c r="T18" s="1" t="str">
        <f t="shared" si="4"/>
        <v>Low</v>
      </c>
      <c r="U18" s="1" t="str">
        <f t="shared" si="5"/>
        <v>Low</v>
      </c>
    </row>
    <row r="19" spans="1:26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>
        <f t="shared" si="1"/>
        <v>324.87149999999997</v>
      </c>
      <c r="R19" s="11">
        <f t="shared" si="2"/>
        <v>1840.9385</v>
      </c>
      <c r="S19" s="1" t="str">
        <f t="shared" si="3"/>
        <v>Low</v>
      </c>
      <c r="T19" s="1" t="str">
        <f t="shared" si="4"/>
        <v>Low</v>
      </c>
      <c r="U19" s="1" t="str">
        <f t="shared" si="5"/>
        <v>Low</v>
      </c>
    </row>
    <row r="20" spans="1:26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>
        <f t="shared" si="1"/>
        <v>297.08999999999997</v>
      </c>
      <c r="R20" s="11">
        <f t="shared" si="2"/>
        <v>1683.51</v>
      </c>
      <c r="S20" s="1" t="str">
        <f t="shared" si="3"/>
        <v>Low</v>
      </c>
      <c r="T20" s="1" t="str">
        <f t="shared" si="4"/>
        <v>Low</v>
      </c>
      <c r="U20" s="1" t="str">
        <f t="shared" si="5"/>
        <v>Low</v>
      </c>
    </row>
    <row r="21" spans="1:26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>
        <f t="shared" si="1"/>
        <v>395.93100000000004</v>
      </c>
      <c r="R21" s="11">
        <f t="shared" si="2"/>
        <v>7522.6890000000003</v>
      </c>
      <c r="S21" s="1" t="str">
        <f t="shared" si="3"/>
        <v>Low</v>
      </c>
      <c r="T21" s="1" t="str">
        <f t="shared" si="4"/>
        <v>Low</v>
      </c>
      <c r="U21" s="1" t="str">
        <f t="shared" si="5"/>
        <v>Low</v>
      </c>
      <c r="W21" s="1"/>
      <c r="X21" s="3" t="s">
        <v>37</v>
      </c>
      <c r="Y21" s="3" t="s">
        <v>28</v>
      </c>
    </row>
    <row r="22" spans="1:26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>
        <f t="shared" si="1"/>
        <v>354.23700000000002</v>
      </c>
      <c r="R22" s="11">
        <f t="shared" si="2"/>
        <v>6730.5029999999997</v>
      </c>
      <c r="S22" s="1" t="str">
        <f t="shared" si="3"/>
        <v>Low</v>
      </c>
      <c r="T22" s="1" t="str">
        <f t="shared" si="4"/>
        <v>Low</v>
      </c>
      <c r="U22" s="1" t="str">
        <f t="shared" si="5"/>
        <v>Low</v>
      </c>
      <c r="W22" s="3" t="s">
        <v>84</v>
      </c>
      <c r="X22" s="1">
        <f>AVERAGEIF(E2:E501,X21,L2:L501)</f>
        <v>5.5263157894736841</v>
      </c>
      <c r="Y22" s="1">
        <f>AVERAGEIF(K2:K501,Y21,L2:L501)</f>
        <v>5.0843373493975905</v>
      </c>
    </row>
    <row r="23" spans="1:26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>
        <f t="shared" si="1"/>
        <v>953.20400000000018</v>
      </c>
      <c r="R23" s="11">
        <f t="shared" si="2"/>
        <v>3812.8160000000003</v>
      </c>
      <c r="S23" s="1" t="str">
        <f t="shared" si="3"/>
        <v>High</v>
      </c>
      <c r="T23" s="1" t="str">
        <f t="shared" si="4"/>
        <v>High</v>
      </c>
      <c r="U23" s="1" t="str">
        <f t="shared" si="5"/>
        <v>High</v>
      </c>
      <c r="W23" s="7" t="s">
        <v>85</v>
      </c>
      <c r="X23" s="1">
        <f>AVERAGE(L2:L501)</f>
        <v>5.1059999999999999</v>
      </c>
      <c r="Y23" s="1"/>
    </row>
    <row r="24" spans="1:26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>
        <f t="shared" si="1"/>
        <v>1120.6959999999999</v>
      </c>
      <c r="R24" s="11">
        <f t="shared" si="2"/>
        <v>4482.7839999999997</v>
      </c>
      <c r="S24" s="1" t="str">
        <f t="shared" si="3"/>
        <v>Low</v>
      </c>
      <c r="T24" s="1" t="str">
        <f t="shared" si="4"/>
        <v>Low</v>
      </c>
      <c r="U24" s="1" t="str">
        <f t="shared" si="5"/>
        <v>Low</v>
      </c>
    </row>
    <row r="25" spans="1:26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>
        <f t="shared" si="1"/>
        <v>0</v>
      </c>
      <c r="R25" s="11">
        <f t="shared" si="2"/>
        <v>3606.31</v>
      </c>
      <c r="S25" s="1" t="str">
        <f t="shared" si="3"/>
        <v>Low</v>
      </c>
      <c r="T25" s="1" t="str">
        <f t="shared" si="4"/>
        <v>Low</v>
      </c>
      <c r="U25" s="1" t="str">
        <f t="shared" si="5"/>
        <v>Low</v>
      </c>
      <c r="X25" s="3" t="s">
        <v>33</v>
      </c>
      <c r="Y25" s="3" t="s">
        <v>37</v>
      </c>
    </row>
    <row r="26" spans="1:26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>
        <f t="shared" si="1"/>
        <v>905.68200000000002</v>
      </c>
      <c r="R26" s="11">
        <f t="shared" si="2"/>
        <v>17207.957999999999</v>
      </c>
      <c r="S26" s="1" t="str">
        <f t="shared" si="3"/>
        <v>High</v>
      </c>
      <c r="T26" s="1" t="str">
        <f t="shared" si="4"/>
        <v>High</v>
      </c>
      <c r="U26" s="1" t="str">
        <f t="shared" si="5"/>
        <v>High</v>
      </c>
      <c r="W26" t="s">
        <v>88</v>
      </c>
      <c r="X26">
        <f>COUNTIF(K2:K501,Y21)</f>
        <v>83</v>
      </c>
      <c r="Y26">
        <f>COUNTIFS(E2:E501,X21)</f>
        <v>76</v>
      </c>
    </row>
    <row r="27" spans="1:26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>
        <f t="shared" si="1"/>
        <v>199.93050000000002</v>
      </c>
      <c r="R27" s="11">
        <f t="shared" si="2"/>
        <v>3798.6795000000002</v>
      </c>
      <c r="S27" s="1" t="str">
        <f t="shared" si="3"/>
        <v>High</v>
      </c>
      <c r="T27" s="1" t="str">
        <f t="shared" si="4"/>
        <v>High</v>
      </c>
      <c r="U27" s="1" t="str">
        <f t="shared" si="5"/>
        <v>High</v>
      </c>
    </row>
    <row r="28" spans="1:26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>
        <f t="shared" si="1"/>
        <v>539.87250000000006</v>
      </c>
      <c r="R28" s="11">
        <f t="shared" si="2"/>
        <v>10257.577500000001</v>
      </c>
      <c r="S28" s="1" t="str">
        <f t="shared" si="3"/>
        <v>Low</v>
      </c>
      <c r="T28" s="1" t="str">
        <f t="shared" si="4"/>
        <v>Low</v>
      </c>
      <c r="U28" s="1" t="str">
        <f t="shared" si="5"/>
        <v>Low</v>
      </c>
      <c r="W28" s="12" t="s">
        <v>10</v>
      </c>
      <c r="X28" s="12" t="s">
        <v>89</v>
      </c>
      <c r="Y28" s="12" t="s">
        <v>91</v>
      </c>
    </row>
    <row r="29" spans="1:26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>
        <f t="shared" si="1"/>
        <v>3847.9560000000001</v>
      </c>
      <c r="R29" s="11">
        <f t="shared" si="2"/>
        <v>15391.823999999999</v>
      </c>
      <c r="S29" s="1" t="str">
        <f t="shared" si="3"/>
        <v>High</v>
      </c>
      <c r="T29" s="1" t="str">
        <f t="shared" si="4"/>
        <v>High</v>
      </c>
      <c r="U29" s="1" t="str">
        <f t="shared" si="5"/>
        <v>High</v>
      </c>
      <c r="W29" s="3" t="s">
        <v>45</v>
      </c>
      <c r="X29" s="12" t="s">
        <v>90</v>
      </c>
      <c r="Y29" s="12">
        <f>COUNTIFS(K2:K501,W29,L2:L501,X29)</f>
        <v>45</v>
      </c>
    </row>
    <row r="30" spans="1:26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>
        <f t="shared" si="1"/>
        <v>341.76149999999996</v>
      </c>
      <c r="R30" s="11">
        <f t="shared" si="2"/>
        <v>1936.6484999999998</v>
      </c>
      <c r="S30" s="1" t="str">
        <f t="shared" si="3"/>
        <v>Low</v>
      </c>
      <c r="T30" s="1" t="str">
        <f t="shared" si="4"/>
        <v>Low</v>
      </c>
      <c r="U30" s="1" t="str">
        <f t="shared" si="5"/>
        <v>Low</v>
      </c>
    </row>
    <row r="31" spans="1:26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>
        <f t="shared" si="1"/>
        <v>34.938000000000002</v>
      </c>
      <c r="R31" s="11">
        <f t="shared" si="2"/>
        <v>314.44200000000001</v>
      </c>
      <c r="S31" s="1" t="str">
        <f t="shared" si="3"/>
        <v>Low</v>
      </c>
      <c r="T31" s="1" t="str">
        <f t="shared" si="4"/>
        <v>Low</v>
      </c>
      <c r="U31" s="1" t="str">
        <f t="shared" si="5"/>
        <v>Low</v>
      </c>
    </row>
    <row r="32" spans="1:26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>
        <f t="shared" si="1"/>
        <v>2295.65</v>
      </c>
      <c r="R32" s="11">
        <f t="shared" si="2"/>
        <v>9182.6</v>
      </c>
      <c r="S32" s="1" t="str">
        <f t="shared" si="3"/>
        <v>High</v>
      </c>
      <c r="T32" s="1" t="str">
        <f t="shared" si="4"/>
        <v>Medium</v>
      </c>
      <c r="U32" s="1" t="str">
        <f t="shared" si="5"/>
        <v>Medium</v>
      </c>
      <c r="W32" s="3" t="s">
        <v>10</v>
      </c>
      <c r="X32" s="3" t="s">
        <v>89</v>
      </c>
      <c r="Y32" s="3" t="s">
        <v>91</v>
      </c>
    </row>
    <row r="33" spans="1:25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>
        <f t="shared" si="1"/>
        <v>150.148</v>
      </c>
      <c r="R33" s="11">
        <f t="shared" si="2"/>
        <v>2852.8119999999999</v>
      </c>
      <c r="S33" s="1" t="str">
        <f t="shared" si="3"/>
        <v>Low</v>
      </c>
      <c r="T33" s="1" t="str">
        <f t="shared" si="4"/>
        <v>Low</v>
      </c>
      <c r="U33" s="1" t="str">
        <f t="shared" si="5"/>
        <v>Low</v>
      </c>
      <c r="W33" s="3" t="s">
        <v>45</v>
      </c>
      <c r="X33" s="3">
        <v>2</v>
      </c>
      <c r="Y33" s="3">
        <f>COUNTIFS(K6:K505,W33,L6:L505,"&gt;"&amp;X33)</f>
        <v>77</v>
      </c>
    </row>
    <row r="34" spans="1:25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>
        <f t="shared" si="1"/>
        <v>4708.4520000000002</v>
      </c>
      <c r="R34" s="11">
        <f t="shared" si="2"/>
        <v>18833.807999999997</v>
      </c>
      <c r="S34" s="1" t="str">
        <f t="shared" si="3"/>
        <v>High</v>
      </c>
      <c r="T34" s="1" t="str">
        <f t="shared" si="4"/>
        <v>High</v>
      </c>
      <c r="U34" s="1" t="str">
        <f t="shared" si="5"/>
        <v>High</v>
      </c>
    </row>
    <row r="35" spans="1:25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>
        <f t="shared" si="1"/>
        <v>0</v>
      </c>
      <c r="R35" s="11">
        <f t="shared" si="2"/>
        <v>9177.5399999999991</v>
      </c>
      <c r="S35" s="1" t="str">
        <f t="shared" si="3"/>
        <v>High</v>
      </c>
      <c r="T35" s="1" t="str">
        <f t="shared" si="4"/>
        <v>High</v>
      </c>
      <c r="U35" s="1" t="str">
        <f t="shared" si="5"/>
        <v>High</v>
      </c>
    </row>
    <row r="36" spans="1:25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>
        <f t="shared" si="1"/>
        <v>1282.624</v>
      </c>
      <c r="R36" s="11">
        <f t="shared" si="2"/>
        <v>24369.856</v>
      </c>
      <c r="S36" s="1" t="str">
        <f t="shared" si="3"/>
        <v>High</v>
      </c>
      <c r="T36" s="1" t="str">
        <f t="shared" si="4"/>
        <v>High</v>
      </c>
      <c r="U36" s="1" t="str">
        <f t="shared" si="5"/>
        <v>High</v>
      </c>
    </row>
    <row r="37" spans="1:25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>
        <f t="shared" si="1"/>
        <v>0</v>
      </c>
      <c r="R37" s="11">
        <f t="shared" si="2"/>
        <v>11639.5</v>
      </c>
      <c r="S37" s="1" t="str">
        <f t="shared" si="3"/>
        <v>High</v>
      </c>
      <c r="T37" s="1" t="str">
        <f t="shared" si="4"/>
        <v>Medium</v>
      </c>
      <c r="U37" s="1" t="str">
        <f t="shared" si="5"/>
        <v>Medium</v>
      </c>
    </row>
    <row r="38" spans="1:25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>
        <f t="shared" si="1"/>
        <v>170.65800000000002</v>
      </c>
      <c r="R38" s="11">
        <f t="shared" si="2"/>
        <v>3242.502</v>
      </c>
      <c r="S38" s="1" t="str">
        <f t="shared" si="3"/>
        <v>Low</v>
      </c>
      <c r="T38" s="1" t="str">
        <f t="shared" si="4"/>
        <v>Low</v>
      </c>
      <c r="U38" s="1" t="str">
        <f t="shared" si="5"/>
        <v>Low</v>
      </c>
    </row>
    <row r="39" spans="1:25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>
        <f t="shared" si="1"/>
        <v>962.44400000000007</v>
      </c>
      <c r="R39" s="11">
        <f t="shared" si="2"/>
        <v>3849.7760000000003</v>
      </c>
      <c r="S39" s="1" t="str">
        <f t="shared" si="3"/>
        <v>High</v>
      </c>
      <c r="T39" s="1" t="str">
        <f t="shared" si="4"/>
        <v>High</v>
      </c>
      <c r="U39" s="1" t="str">
        <f t="shared" si="5"/>
        <v>High</v>
      </c>
    </row>
    <row r="40" spans="1:25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>
        <f t="shared" si="1"/>
        <v>2487.8910000000001</v>
      </c>
      <c r="R40" s="11">
        <f t="shared" si="2"/>
        <v>14098.049000000003</v>
      </c>
      <c r="S40" s="1" t="str">
        <f t="shared" si="3"/>
        <v>High</v>
      </c>
      <c r="T40" s="1" t="str">
        <f t="shared" si="4"/>
        <v>High</v>
      </c>
      <c r="U40" s="1" t="str">
        <f t="shared" si="5"/>
        <v>High</v>
      </c>
    </row>
    <row r="41" spans="1:25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>
        <f t="shared" si="1"/>
        <v>1849.95</v>
      </c>
      <c r="R41" s="11">
        <f t="shared" si="2"/>
        <v>16649.55</v>
      </c>
      <c r="S41" s="1" t="str">
        <f t="shared" si="3"/>
        <v>High</v>
      </c>
      <c r="T41" s="1" t="str">
        <f t="shared" si="4"/>
        <v>High</v>
      </c>
      <c r="U41" s="1" t="str">
        <f t="shared" si="5"/>
        <v>High</v>
      </c>
    </row>
    <row r="42" spans="1:25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>
        <f t="shared" si="1"/>
        <v>0</v>
      </c>
      <c r="R42" s="11">
        <f t="shared" si="2"/>
        <v>25270.400000000001</v>
      </c>
      <c r="S42" s="1" t="str">
        <f t="shared" si="3"/>
        <v>High</v>
      </c>
      <c r="T42" s="1" t="str">
        <f t="shared" si="4"/>
        <v>High</v>
      </c>
      <c r="U42" s="1" t="str">
        <f t="shared" si="5"/>
        <v>High</v>
      </c>
    </row>
    <row r="43" spans="1:25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>
        <f t="shared" si="1"/>
        <v>969.33600000000013</v>
      </c>
      <c r="R43" s="11">
        <f t="shared" si="2"/>
        <v>3877.3440000000001</v>
      </c>
      <c r="S43" s="1" t="str">
        <f t="shared" si="3"/>
        <v>Low</v>
      </c>
      <c r="T43" s="1" t="str">
        <f t="shared" si="4"/>
        <v>Low</v>
      </c>
      <c r="U43" s="1" t="str">
        <f t="shared" si="5"/>
        <v>Low</v>
      </c>
    </row>
    <row r="44" spans="1:25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>
        <f t="shared" si="1"/>
        <v>702.26249999999993</v>
      </c>
      <c r="R44" s="11">
        <f t="shared" si="2"/>
        <v>3979.4875000000002</v>
      </c>
      <c r="S44" s="1" t="str">
        <f t="shared" si="3"/>
        <v>High</v>
      </c>
      <c r="T44" s="1" t="str">
        <f t="shared" si="4"/>
        <v>Medium</v>
      </c>
      <c r="U44" s="1" t="str">
        <f t="shared" si="5"/>
        <v>Medium</v>
      </c>
    </row>
    <row r="45" spans="1:25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>
        <f t="shared" si="1"/>
        <v>171.608</v>
      </c>
      <c r="R45" s="11">
        <f t="shared" si="2"/>
        <v>686.43200000000002</v>
      </c>
      <c r="S45" s="1" t="str">
        <f t="shared" si="3"/>
        <v>Low</v>
      </c>
      <c r="T45" s="1" t="str">
        <f t="shared" si="4"/>
        <v>Low</v>
      </c>
      <c r="U45" s="1" t="str">
        <f t="shared" si="5"/>
        <v>Low</v>
      </c>
    </row>
    <row r="46" spans="1:25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>
        <f t="shared" si="1"/>
        <v>0</v>
      </c>
      <c r="R46" s="11">
        <f t="shared" si="2"/>
        <v>2764.92</v>
      </c>
      <c r="S46" s="1" t="str">
        <f t="shared" si="3"/>
        <v>Low</v>
      </c>
      <c r="T46" s="1" t="str">
        <f t="shared" si="4"/>
        <v>Low</v>
      </c>
      <c r="U46" s="1" t="str">
        <f t="shared" si="5"/>
        <v>Low</v>
      </c>
    </row>
    <row r="47" spans="1:25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>
        <f t="shared" si="1"/>
        <v>355.83200000000005</v>
      </c>
      <c r="R47" s="11">
        <f t="shared" si="2"/>
        <v>3202.4880000000003</v>
      </c>
      <c r="S47" s="1" t="str">
        <f t="shared" si="3"/>
        <v>High</v>
      </c>
      <c r="T47" s="1" t="str">
        <f t="shared" si="4"/>
        <v>High</v>
      </c>
      <c r="U47" s="1" t="str">
        <f t="shared" si="5"/>
        <v>High</v>
      </c>
    </row>
    <row r="48" spans="1:25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>
        <f t="shared" si="1"/>
        <v>353.98600000000005</v>
      </c>
      <c r="R48" s="11">
        <f t="shared" si="2"/>
        <v>1415.944</v>
      </c>
      <c r="S48" s="1" t="str">
        <f t="shared" si="3"/>
        <v>Low</v>
      </c>
      <c r="T48" s="1" t="str">
        <f t="shared" si="4"/>
        <v>Low</v>
      </c>
      <c r="U48" s="1" t="str">
        <f t="shared" si="5"/>
        <v>Low</v>
      </c>
    </row>
    <row r="49" spans="1:21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>
        <f t="shared" si="1"/>
        <v>616.62</v>
      </c>
      <c r="R49" s="11">
        <f t="shared" si="2"/>
        <v>11715.779999999999</v>
      </c>
      <c r="S49" s="1" t="str">
        <f t="shared" si="3"/>
        <v>High</v>
      </c>
      <c r="T49" s="1" t="str">
        <f t="shared" si="4"/>
        <v>Medium</v>
      </c>
      <c r="U49" s="1" t="str">
        <f t="shared" si="5"/>
        <v>Medium</v>
      </c>
    </row>
    <row r="50" spans="1:21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>
        <f t="shared" si="1"/>
        <v>3382.0830000000001</v>
      </c>
      <c r="R50" s="11">
        <f t="shared" si="2"/>
        <v>19165.137000000002</v>
      </c>
      <c r="S50" s="1" t="str">
        <f t="shared" si="3"/>
        <v>High</v>
      </c>
      <c r="T50" s="1" t="str">
        <f t="shared" si="4"/>
        <v>High</v>
      </c>
      <c r="U50" s="1" t="str">
        <f t="shared" si="5"/>
        <v>High</v>
      </c>
    </row>
    <row r="51" spans="1:21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>
        <f t="shared" si="1"/>
        <v>1620.5280000000002</v>
      </c>
      <c r="R51" s="11">
        <f t="shared" si="2"/>
        <v>6482.1120000000001</v>
      </c>
      <c r="S51" s="1" t="str">
        <f t="shared" si="3"/>
        <v>High</v>
      </c>
      <c r="T51" s="1" t="str">
        <f t="shared" si="4"/>
        <v>High</v>
      </c>
      <c r="U51" s="1" t="str">
        <f t="shared" si="5"/>
        <v>High</v>
      </c>
    </row>
    <row r="52" spans="1:21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>
        <f t="shared" si="1"/>
        <v>833.71499999999992</v>
      </c>
      <c r="R52" s="11">
        <f t="shared" si="2"/>
        <v>4724.3849999999993</v>
      </c>
      <c r="S52" s="1" t="str">
        <f t="shared" si="3"/>
        <v>High</v>
      </c>
      <c r="T52" s="1" t="str">
        <f t="shared" si="4"/>
        <v>Medium</v>
      </c>
      <c r="U52" s="1" t="str">
        <f t="shared" si="5"/>
        <v>Medium</v>
      </c>
    </row>
    <row r="53" spans="1:21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>
        <f t="shared" si="1"/>
        <v>400.27800000000002</v>
      </c>
      <c r="R53" s="11">
        <f t="shared" si="2"/>
        <v>7605.2819999999992</v>
      </c>
      <c r="S53" s="1" t="str">
        <f t="shared" si="3"/>
        <v>Low</v>
      </c>
      <c r="T53" s="1" t="str">
        <f t="shared" si="4"/>
        <v>Low</v>
      </c>
      <c r="U53" s="1" t="str">
        <f t="shared" si="5"/>
        <v>Low</v>
      </c>
    </row>
    <row r="54" spans="1:21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>
        <f t="shared" si="1"/>
        <v>1267.0350000000001</v>
      </c>
      <c r="R54" s="11">
        <f t="shared" si="2"/>
        <v>11403.315000000001</v>
      </c>
      <c r="S54" s="1" t="str">
        <f t="shared" si="3"/>
        <v>High</v>
      </c>
      <c r="T54" s="1" t="str">
        <f t="shared" si="4"/>
        <v>Medium</v>
      </c>
      <c r="U54" s="1" t="str">
        <f t="shared" si="5"/>
        <v>Medium</v>
      </c>
    </row>
    <row r="55" spans="1:21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>
        <f t="shared" si="1"/>
        <v>1142.896</v>
      </c>
      <c r="R55" s="11">
        <f t="shared" si="2"/>
        <v>10286.063999999998</v>
      </c>
      <c r="S55" s="1" t="str">
        <f t="shared" si="3"/>
        <v>High</v>
      </c>
      <c r="T55" s="1" t="str">
        <f t="shared" si="4"/>
        <v>High</v>
      </c>
      <c r="U55" s="1" t="str">
        <f t="shared" si="5"/>
        <v>High</v>
      </c>
    </row>
    <row r="56" spans="1:21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>
        <f t="shared" si="1"/>
        <v>372.31900000000002</v>
      </c>
      <c r="R56" s="11">
        <f t="shared" si="2"/>
        <v>7074.0609999999997</v>
      </c>
      <c r="S56" s="1" t="str">
        <f t="shared" si="3"/>
        <v>Low</v>
      </c>
      <c r="T56" s="1" t="str">
        <f t="shared" si="4"/>
        <v>Low</v>
      </c>
      <c r="U56" s="1" t="str">
        <f t="shared" si="5"/>
        <v>Low</v>
      </c>
    </row>
    <row r="57" spans="1:21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>
        <f t="shared" si="1"/>
        <v>3062.4479999999999</v>
      </c>
      <c r="R57" s="11">
        <f t="shared" si="2"/>
        <v>17353.871999999999</v>
      </c>
      <c r="S57" s="1" t="str">
        <f t="shared" si="3"/>
        <v>High</v>
      </c>
      <c r="T57" s="1" t="str">
        <f t="shared" si="4"/>
        <v>High</v>
      </c>
      <c r="U57" s="1" t="str">
        <f t="shared" si="5"/>
        <v>High</v>
      </c>
    </row>
    <row r="58" spans="1:21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>
        <f t="shared" si="1"/>
        <v>1822.1940000000004</v>
      </c>
      <c r="R58" s="11">
        <f t="shared" si="2"/>
        <v>7288.7760000000007</v>
      </c>
      <c r="S58" s="1" t="str">
        <f t="shared" si="3"/>
        <v>High</v>
      </c>
      <c r="T58" s="1" t="str">
        <f t="shared" si="4"/>
        <v>High</v>
      </c>
      <c r="U58" s="1" t="str">
        <f t="shared" si="5"/>
        <v>High</v>
      </c>
    </row>
    <row r="59" spans="1:21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>
        <f t="shared" si="1"/>
        <v>428.28000000000003</v>
      </c>
      <c r="R59" s="11">
        <f t="shared" si="2"/>
        <v>8137.3200000000006</v>
      </c>
      <c r="S59" s="1" t="str">
        <f t="shared" si="3"/>
        <v>High</v>
      </c>
      <c r="T59" s="1" t="str">
        <f t="shared" si="4"/>
        <v>High</v>
      </c>
      <c r="U59" s="1" t="str">
        <f t="shared" si="5"/>
        <v>High</v>
      </c>
    </row>
    <row r="60" spans="1:21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>
        <f t="shared" si="1"/>
        <v>0</v>
      </c>
      <c r="R60" s="11">
        <f t="shared" si="2"/>
        <v>16978.88</v>
      </c>
      <c r="S60" s="1" t="str">
        <f t="shared" si="3"/>
        <v>High</v>
      </c>
      <c r="T60" s="1" t="str">
        <f t="shared" si="4"/>
        <v>High</v>
      </c>
      <c r="U60" s="1" t="str">
        <f t="shared" si="5"/>
        <v>High</v>
      </c>
    </row>
    <row r="61" spans="1:21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>
        <f t="shared" si="1"/>
        <v>3753.8999999999996</v>
      </c>
      <c r="R61" s="11">
        <f t="shared" si="2"/>
        <v>21272.1</v>
      </c>
      <c r="S61" s="1" t="str">
        <f t="shared" si="3"/>
        <v>High</v>
      </c>
      <c r="T61" s="1" t="str">
        <f t="shared" si="4"/>
        <v>High</v>
      </c>
      <c r="U61" s="1" t="str">
        <f t="shared" si="5"/>
        <v>High</v>
      </c>
    </row>
    <row r="62" spans="1:21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>
        <f t="shared" si="1"/>
        <v>223.69200000000001</v>
      </c>
      <c r="R62" s="11">
        <f t="shared" si="2"/>
        <v>2013.2280000000001</v>
      </c>
      <c r="S62" s="1" t="str">
        <f t="shared" si="3"/>
        <v>High</v>
      </c>
      <c r="T62" s="1" t="str">
        <f t="shared" si="4"/>
        <v>High</v>
      </c>
      <c r="U62" s="1" t="str">
        <f t="shared" si="5"/>
        <v>High</v>
      </c>
    </row>
    <row r="63" spans="1:21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>
        <f t="shared" si="1"/>
        <v>1127.7360000000001</v>
      </c>
      <c r="R63" s="11">
        <f t="shared" si="2"/>
        <v>21426.984</v>
      </c>
      <c r="S63" s="1" t="str">
        <f t="shared" si="3"/>
        <v>High</v>
      </c>
      <c r="T63" s="1" t="str">
        <f t="shared" si="4"/>
        <v>High</v>
      </c>
      <c r="U63" s="1" t="str">
        <f t="shared" si="5"/>
        <v>High</v>
      </c>
    </row>
    <row r="64" spans="1:21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>
        <f t="shared" si="1"/>
        <v>1587.4260000000002</v>
      </c>
      <c r="R64" s="11">
        <f t="shared" si="2"/>
        <v>14286.834000000001</v>
      </c>
      <c r="S64" s="1" t="str">
        <f t="shared" si="3"/>
        <v>High</v>
      </c>
      <c r="T64" s="1" t="str">
        <f t="shared" si="4"/>
        <v>High</v>
      </c>
      <c r="U64" s="1" t="str">
        <f t="shared" si="5"/>
        <v>High</v>
      </c>
    </row>
    <row r="65" spans="1:21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>
        <f t="shared" si="1"/>
        <v>312.36</v>
      </c>
      <c r="R65" s="11">
        <f t="shared" si="2"/>
        <v>1770.04</v>
      </c>
      <c r="S65" s="1" t="str">
        <f t="shared" si="3"/>
        <v>Low</v>
      </c>
      <c r="T65" s="1" t="str">
        <f t="shared" si="4"/>
        <v>Low</v>
      </c>
      <c r="U65" s="1" t="str">
        <f t="shared" si="5"/>
        <v>Low</v>
      </c>
    </row>
    <row r="66" spans="1:21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>
        <f t="shared" si="1"/>
        <v>554.64200000000005</v>
      </c>
      <c r="R66" s="11">
        <f t="shared" si="2"/>
        <v>4991.7780000000002</v>
      </c>
      <c r="S66" s="1" t="str">
        <f t="shared" si="3"/>
        <v>Low</v>
      </c>
      <c r="T66" s="1" t="str">
        <f t="shared" si="4"/>
        <v>Low</v>
      </c>
      <c r="U66" s="1" t="str">
        <f t="shared" si="5"/>
        <v>Low</v>
      </c>
    </row>
    <row r="67" spans="1:21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6">L67*M67</f>
        <v>30157.68</v>
      </c>
      <c r="Q67" s="1">
        <f t="shared" ref="Q67:Q130" si="7">P67*N67%</f>
        <v>1507.884</v>
      </c>
      <c r="R67" s="11">
        <f t="shared" ref="R67:R130" si="8">P67-Q67</f>
        <v>28649.796000000002</v>
      </c>
      <c r="S67" s="1" t="str">
        <f t="shared" ref="S67:S130" si="9">IF(L67&gt;=5,"High","Low")</f>
        <v>High</v>
      </c>
      <c r="T67" s="1" t="str">
        <f t="shared" ref="T67:T130" si="10">IF(L67&gt;5,"High",IF(L67=5,"Medium","Low"))</f>
        <v>High</v>
      </c>
      <c r="U67" s="1" t="str">
        <f t="shared" ref="U67:U130" si="11">IF(L67&gt;5,"High",IF(L67=5,"Medium","Low"))</f>
        <v>High</v>
      </c>
    </row>
    <row r="68" spans="1:21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6"/>
        <v>330.13</v>
      </c>
      <c r="Q68" s="1">
        <f t="shared" si="7"/>
        <v>49.519500000000001</v>
      </c>
      <c r="R68" s="11">
        <f t="shared" si="8"/>
        <v>280.6105</v>
      </c>
      <c r="S68" s="1" t="str">
        <f t="shared" si="9"/>
        <v>Low</v>
      </c>
      <c r="T68" s="1" t="str">
        <f t="shared" si="10"/>
        <v>Low</v>
      </c>
      <c r="U68" s="1" t="str">
        <f t="shared" si="11"/>
        <v>Low</v>
      </c>
    </row>
    <row r="69" spans="1:21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6"/>
        <v>8283.9600000000009</v>
      </c>
      <c r="Q69" s="1">
        <f t="shared" si="7"/>
        <v>0</v>
      </c>
      <c r="R69" s="11">
        <f t="shared" si="8"/>
        <v>8283.9600000000009</v>
      </c>
      <c r="S69" s="1" t="str">
        <f t="shared" si="9"/>
        <v>High</v>
      </c>
      <c r="T69" s="1" t="str">
        <f t="shared" si="10"/>
        <v>High</v>
      </c>
      <c r="U69" s="1" t="str">
        <f t="shared" si="11"/>
        <v>High</v>
      </c>
    </row>
    <row r="70" spans="1:21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6"/>
        <v>11021.880000000001</v>
      </c>
      <c r="Q70" s="1">
        <f t="shared" si="7"/>
        <v>551.09400000000005</v>
      </c>
      <c r="R70" s="11">
        <f t="shared" si="8"/>
        <v>10470.786</v>
      </c>
      <c r="S70" s="1" t="str">
        <f t="shared" si="9"/>
        <v>High</v>
      </c>
      <c r="T70" s="1" t="str">
        <f t="shared" si="10"/>
        <v>High</v>
      </c>
      <c r="U70" s="1" t="str">
        <f t="shared" si="11"/>
        <v>High</v>
      </c>
    </row>
    <row r="71" spans="1:21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6"/>
        <v>14448.6</v>
      </c>
      <c r="Q71" s="1">
        <f t="shared" si="7"/>
        <v>2889.7200000000003</v>
      </c>
      <c r="R71" s="11">
        <f t="shared" si="8"/>
        <v>11558.880000000001</v>
      </c>
      <c r="S71" s="1" t="str">
        <f t="shared" si="9"/>
        <v>Low</v>
      </c>
      <c r="T71" s="1" t="str">
        <f t="shared" si="10"/>
        <v>Low</v>
      </c>
      <c r="U71" s="1" t="str">
        <f t="shared" si="11"/>
        <v>Low</v>
      </c>
    </row>
    <row r="72" spans="1:21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6"/>
        <v>11564.130000000001</v>
      </c>
      <c r="Q72" s="1">
        <f t="shared" si="7"/>
        <v>578.20650000000012</v>
      </c>
      <c r="R72" s="11">
        <f t="shared" si="8"/>
        <v>10985.923500000001</v>
      </c>
      <c r="S72" s="1" t="str">
        <f t="shared" si="9"/>
        <v>Low</v>
      </c>
      <c r="T72" s="1" t="str">
        <f t="shared" si="10"/>
        <v>Low</v>
      </c>
      <c r="U72" s="1" t="str">
        <f t="shared" si="11"/>
        <v>Low</v>
      </c>
    </row>
    <row r="73" spans="1:21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6"/>
        <v>5579.5199999999995</v>
      </c>
      <c r="Q73" s="1">
        <f t="shared" si="7"/>
        <v>836.92799999999988</v>
      </c>
      <c r="R73" s="11">
        <f t="shared" si="8"/>
        <v>4742.5919999999996</v>
      </c>
      <c r="S73" s="1" t="str">
        <f t="shared" si="9"/>
        <v>Low</v>
      </c>
      <c r="T73" s="1" t="str">
        <f t="shared" si="10"/>
        <v>Low</v>
      </c>
      <c r="U73" s="1" t="str">
        <f t="shared" si="11"/>
        <v>Low</v>
      </c>
    </row>
    <row r="74" spans="1:21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6"/>
        <v>3037.61</v>
      </c>
      <c r="Q74" s="1">
        <f t="shared" si="7"/>
        <v>151.88050000000001</v>
      </c>
      <c r="R74" s="11">
        <f t="shared" si="8"/>
        <v>2885.7294999999999</v>
      </c>
      <c r="S74" s="1" t="str">
        <f t="shared" si="9"/>
        <v>Low</v>
      </c>
      <c r="T74" s="1" t="str">
        <f t="shared" si="10"/>
        <v>Low</v>
      </c>
      <c r="U74" s="1" t="str">
        <f t="shared" si="11"/>
        <v>Low</v>
      </c>
    </row>
    <row r="75" spans="1:21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6"/>
        <v>6590.67</v>
      </c>
      <c r="Q75" s="1">
        <f t="shared" si="7"/>
        <v>0</v>
      </c>
      <c r="R75" s="11">
        <f t="shared" si="8"/>
        <v>6590.67</v>
      </c>
      <c r="S75" s="1" t="str">
        <f t="shared" si="9"/>
        <v>Low</v>
      </c>
      <c r="T75" s="1" t="str">
        <f t="shared" si="10"/>
        <v>Low</v>
      </c>
      <c r="U75" s="1" t="str">
        <f t="shared" si="11"/>
        <v>Low</v>
      </c>
    </row>
    <row r="76" spans="1:21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6"/>
        <v>8881.84</v>
      </c>
      <c r="Q76" s="1">
        <f t="shared" si="7"/>
        <v>0</v>
      </c>
      <c r="R76" s="11">
        <f t="shared" si="8"/>
        <v>8881.84</v>
      </c>
      <c r="S76" s="1" t="str">
        <f t="shared" si="9"/>
        <v>Low</v>
      </c>
      <c r="T76" s="1" t="str">
        <f t="shared" si="10"/>
        <v>Low</v>
      </c>
      <c r="U76" s="1" t="str">
        <f t="shared" si="11"/>
        <v>Low</v>
      </c>
    </row>
    <row r="77" spans="1:21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6"/>
        <v>6103.4000000000005</v>
      </c>
      <c r="Q77" s="1">
        <f t="shared" si="7"/>
        <v>1220.68</v>
      </c>
      <c r="R77" s="11">
        <f t="shared" si="8"/>
        <v>4882.72</v>
      </c>
      <c r="S77" s="1" t="str">
        <f t="shared" si="9"/>
        <v>High</v>
      </c>
      <c r="T77" s="1" t="str">
        <f t="shared" si="10"/>
        <v>Medium</v>
      </c>
      <c r="U77" s="1" t="str">
        <f t="shared" si="11"/>
        <v>Medium</v>
      </c>
    </row>
    <row r="78" spans="1:21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6"/>
        <v>2955.84</v>
      </c>
      <c r="Q78" s="1">
        <f t="shared" si="7"/>
        <v>295.584</v>
      </c>
      <c r="R78" s="11">
        <f t="shared" si="8"/>
        <v>2660.2560000000003</v>
      </c>
      <c r="S78" s="1" t="str">
        <f t="shared" si="9"/>
        <v>Low</v>
      </c>
      <c r="T78" s="1" t="str">
        <f t="shared" si="10"/>
        <v>Low</v>
      </c>
      <c r="U78" s="1" t="str">
        <f t="shared" si="11"/>
        <v>Low</v>
      </c>
    </row>
    <row r="79" spans="1:21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6"/>
        <v>7552.92</v>
      </c>
      <c r="Q79" s="1">
        <f t="shared" si="7"/>
        <v>1132.9379999999999</v>
      </c>
      <c r="R79" s="11">
        <f t="shared" si="8"/>
        <v>6419.982</v>
      </c>
      <c r="S79" s="1" t="str">
        <f t="shared" si="9"/>
        <v>High</v>
      </c>
      <c r="T79" s="1" t="str">
        <f t="shared" si="10"/>
        <v>High</v>
      </c>
      <c r="U79" s="1" t="str">
        <f t="shared" si="11"/>
        <v>High</v>
      </c>
    </row>
    <row r="80" spans="1:21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6"/>
        <v>11459.300000000001</v>
      </c>
      <c r="Q80" s="1">
        <f t="shared" si="7"/>
        <v>1718.8950000000002</v>
      </c>
      <c r="R80" s="11">
        <f t="shared" si="8"/>
        <v>9740.4050000000007</v>
      </c>
      <c r="S80" s="1" t="str">
        <f t="shared" si="9"/>
        <v>High</v>
      </c>
      <c r="T80" s="1" t="str">
        <f t="shared" si="10"/>
        <v>Medium</v>
      </c>
      <c r="U80" s="1" t="str">
        <f t="shared" si="11"/>
        <v>Medium</v>
      </c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6"/>
        <v>786.75</v>
      </c>
      <c r="Q81" s="1">
        <f t="shared" si="7"/>
        <v>78.675000000000011</v>
      </c>
      <c r="R81" s="11">
        <f t="shared" si="8"/>
        <v>708.07500000000005</v>
      </c>
      <c r="S81" s="1" t="str">
        <f t="shared" si="9"/>
        <v>Low</v>
      </c>
      <c r="T81" s="1" t="str">
        <f t="shared" si="10"/>
        <v>Low</v>
      </c>
      <c r="U81" s="1" t="str">
        <f t="shared" si="11"/>
        <v>Low</v>
      </c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6"/>
        <v>21857.46</v>
      </c>
      <c r="Q82" s="1">
        <f t="shared" si="7"/>
        <v>0</v>
      </c>
      <c r="R82" s="11">
        <f t="shared" si="8"/>
        <v>21857.46</v>
      </c>
      <c r="S82" s="1" t="str">
        <f t="shared" si="9"/>
        <v>High</v>
      </c>
      <c r="T82" s="1" t="str">
        <f t="shared" si="10"/>
        <v>High</v>
      </c>
      <c r="U82" s="1" t="str">
        <f t="shared" si="11"/>
        <v>High</v>
      </c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6"/>
        <v>4510.1400000000003</v>
      </c>
      <c r="Q83" s="1">
        <f t="shared" si="7"/>
        <v>0</v>
      </c>
      <c r="R83" s="11">
        <f t="shared" si="8"/>
        <v>4510.1400000000003</v>
      </c>
      <c r="S83" s="1" t="str">
        <f t="shared" si="9"/>
        <v>High</v>
      </c>
      <c r="T83" s="1" t="str">
        <f t="shared" si="10"/>
        <v>High</v>
      </c>
      <c r="U83" s="1" t="str">
        <f t="shared" si="11"/>
        <v>High</v>
      </c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6"/>
        <v>7978.72</v>
      </c>
      <c r="Q84" s="1">
        <f t="shared" si="7"/>
        <v>398.93600000000004</v>
      </c>
      <c r="R84" s="11">
        <f t="shared" si="8"/>
        <v>7579.7840000000006</v>
      </c>
      <c r="S84" s="1" t="str">
        <f t="shared" si="9"/>
        <v>High</v>
      </c>
      <c r="T84" s="1" t="str">
        <f t="shared" si="10"/>
        <v>High</v>
      </c>
      <c r="U84" s="1" t="str">
        <f t="shared" si="11"/>
        <v>High</v>
      </c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6"/>
        <v>4290.72</v>
      </c>
      <c r="Q85" s="1">
        <f t="shared" si="7"/>
        <v>858.14400000000012</v>
      </c>
      <c r="R85" s="11">
        <f t="shared" si="8"/>
        <v>3432.576</v>
      </c>
      <c r="S85" s="1" t="str">
        <f t="shared" si="9"/>
        <v>Low</v>
      </c>
      <c r="T85" s="1" t="str">
        <f t="shared" si="10"/>
        <v>Low</v>
      </c>
      <c r="U85" s="1" t="str">
        <f t="shared" si="11"/>
        <v>Low</v>
      </c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6"/>
        <v>2883.94</v>
      </c>
      <c r="Q86" s="1">
        <f t="shared" si="7"/>
        <v>576.78800000000001</v>
      </c>
      <c r="R86" s="11">
        <f t="shared" si="8"/>
        <v>2307.152</v>
      </c>
      <c r="S86" s="1" t="str">
        <f t="shared" si="9"/>
        <v>Low</v>
      </c>
      <c r="T86" s="1" t="str">
        <f t="shared" si="10"/>
        <v>Low</v>
      </c>
      <c r="U86" s="1" t="str">
        <f t="shared" si="11"/>
        <v>Low</v>
      </c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6"/>
        <v>2074.2399999999998</v>
      </c>
      <c r="Q87" s="1">
        <f t="shared" si="7"/>
        <v>414.84799999999996</v>
      </c>
      <c r="R87" s="11">
        <f t="shared" si="8"/>
        <v>1659.3919999999998</v>
      </c>
      <c r="S87" s="1" t="str">
        <f t="shared" si="9"/>
        <v>Low</v>
      </c>
      <c r="T87" s="1" t="str">
        <f t="shared" si="10"/>
        <v>Low</v>
      </c>
      <c r="U87" s="1" t="str">
        <f t="shared" si="11"/>
        <v>Low</v>
      </c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6"/>
        <v>9611.84</v>
      </c>
      <c r="Q88" s="1">
        <f t="shared" si="7"/>
        <v>480.59200000000004</v>
      </c>
      <c r="R88" s="11">
        <f t="shared" si="8"/>
        <v>9131.2479999999996</v>
      </c>
      <c r="S88" s="1" t="str">
        <f t="shared" si="9"/>
        <v>High</v>
      </c>
      <c r="T88" s="1" t="str">
        <f t="shared" si="10"/>
        <v>High</v>
      </c>
      <c r="U88" s="1" t="str">
        <f t="shared" si="11"/>
        <v>High</v>
      </c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6"/>
        <v>11638.2</v>
      </c>
      <c r="Q89" s="1">
        <f t="shared" si="7"/>
        <v>2327.6400000000003</v>
      </c>
      <c r="R89" s="11">
        <f t="shared" si="8"/>
        <v>9310.5600000000013</v>
      </c>
      <c r="S89" s="1" t="str">
        <f t="shared" si="9"/>
        <v>Low</v>
      </c>
      <c r="T89" s="1" t="str">
        <f t="shared" si="10"/>
        <v>Low</v>
      </c>
      <c r="U89" s="1" t="str">
        <f t="shared" si="11"/>
        <v>Low</v>
      </c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6"/>
        <v>3480.06</v>
      </c>
      <c r="Q90" s="1">
        <f t="shared" si="7"/>
        <v>348.00600000000003</v>
      </c>
      <c r="R90" s="11">
        <f t="shared" si="8"/>
        <v>3132.0540000000001</v>
      </c>
      <c r="S90" s="1" t="str">
        <f t="shared" si="9"/>
        <v>Low</v>
      </c>
      <c r="T90" s="1" t="str">
        <f t="shared" si="10"/>
        <v>Low</v>
      </c>
      <c r="U90" s="1" t="str">
        <f t="shared" si="11"/>
        <v>Low</v>
      </c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6"/>
        <v>6776.2</v>
      </c>
      <c r="Q91" s="1">
        <f t="shared" si="7"/>
        <v>338.81</v>
      </c>
      <c r="R91" s="11">
        <f t="shared" si="8"/>
        <v>6437.3899999999994</v>
      </c>
      <c r="S91" s="1" t="str">
        <f t="shared" si="9"/>
        <v>High</v>
      </c>
      <c r="T91" s="1" t="str">
        <f t="shared" si="10"/>
        <v>Medium</v>
      </c>
      <c r="U91" s="1" t="str">
        <f t="shared" si="11"/>
        <v>Medium</v>
      </c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6"/>
        <v>16852.599999999999</v>
      </c>
      <c r="Q92" s="1">
        <f t="shared" si="7"/>
        <v>1685.26</v>
      </c>
      <c r="R92" s="11">
        <f t="shared" si="8"/>
        <v>15167.339999999998</v>
      </c>
      <c r="S92" s="1" t="str">
        <f t="shared" si="9"/>
        <v>High</v>
      </c>
      <c r="T92" s="1" t="str">
        <f t="shared" si="10"/>
        <v>Medium</v>
      </c>
      <c r="U92" s="1" t="str">
        <f t="shared" si="11"/>
        <v>Medium</v>
      </c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6"/>
        <v>1029.99</v>
      </c>
      <c r="Q93" s="1">
        <f t="shared" si="7"/>
        <v>51.499500000000005</v>
      </c>
      <c r="R93" s="11">
        <f t="shared" si="8"/>
        <v>978.4905</v>
      </c>
      <c r="S93" s="1" t="str">
        <f t="shared" si="9"/>
        <v>Low</v>
      </c>
      <c r="T93" s="1" t="str">
        <f t="shared" si="10"/>
        <v>Low</v>
      </c>
      <c r="U93" s="1" t="str">
        <f t="shared" si="11"/>
        <v>Low</v>
      </c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6"/>
        <v>17448.84</v>
      </c>
      <c r="Q94" s="1">
        <f t="shared" si="7"/>
        <v>3489.768</v>
      </c>
      <c r="R94" s="11">
        <f t="shared" si="8"/>
        <v>13959.072</v>
      </c>
      <c r="S94" s="1" t="str">
        <f t="shared" si="9"/>
        <v>High</v>
      </c>
      <c r="T94" s="1" t="str">
        <f t="shared" si="10"/>
        <v>High</v>
      </c>
      <c r="U94" s="1" t="str">
        <f t="shared" si="11"/>
        <v>High</v>
      </c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6"/>
        <v>6446.08</v>
      </c>
      <c r="Q95" s="1">
        <f t="shared" si="7"/>
        <v>644.60800000000006</v>
      </c>
      <c r="R95" s="11">
        <f t="shared" si="8"/>
        <v>5801.4719999999998</v>
      </c>
      <c r="S95" s="1" t="str">
        <f t="shared" si="9"/>
        <v>Low</v>
      </c>
      <c r="T95" s="1" t="str">
        <f t="shared" si="10"/>
        <v>Low</v>
      </c>
      <c r="U95" s="1" t="str">
        <f t="shared" si="11"/>
        <v>Low</v>
      </c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6"/>
        <v>4106.58</v>
      </c>
      <c r="Q96" s="1">
        <f t="shared" si="7"/>
        <v>410.65800000000002</v>
      </c>
      <c r="R96" s="11">
        <f t="shared" si="8"/>
        <v>3695.922</v>
      </c>
      <c r="S96" s="1" t="str">
        <f t="shared" si="9"/>
        <v>Low</v>
      </c>
      <c r="T96" s="1" t="str">
        <f t="shared" si="10"/>
        <v>Low</v>
      </c>
      <c r="U96" s="1" t="str">
        <f t="shared" si="11"/>
        <v>Low</v>
      </c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6"/>
        <v>2499.88</v>
      </c>
      <c r="Q97" s="1">
        <f t="shared" si="7"/>
        <v>249.98800000000003</v>
      </c>
      <c r="R97" s="11">
        <f t="shared" si="8"/>
        <v>2249.8920000000003</v>
      </c>
      <c r="S97" s="1" t="str">
        <f t="shared" si="9"/>
        <v>Low</v>
      </c>
      <c r="T97" s="1" t="str">
        <f t="shared" si="10"/>
        <v>Low</v>
      </c>
      <c r="U97" s="1" t="str">
        <f t="shared" si="11"/>
        <v>Low</v>
      </c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6"/>
        <v>4516.1100000000006</v>
      </c>
      <c r="Q98" s="1">
        <f t="shared" si="7"/>
        <v>225.80550000000005</v>
      </c>
      <c r="R98" s="11">
        <f t="shared" si="8"/>
        <v>4290.3045000000002</v>
      </c>
      <c r="S98" s="1" t="str">
        <f t="shared" si="9"/>
        <v>High</v>
      </c>
      <c r="T98" s="1" t="str">
        <f t="shared" si="10"/>
        <v>High</v>
      </c>
      <c r="U98" s="1" t="str">
        <f t="shared" si="11"/>
        <v>High</v>
      </c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6"/>
        <v>5448.32</v>
      </c>
      <c r="Q99" s="1">
        <f t="shared" si="7"/>
        <v>817.24799999999993</v>
      </c>
      <c r="R99" s="11">
        <f t="shared" si="8"/>
        <v>4631.0720000000001</v>
      </c>
      <c r="S99" s="1" t="str">
        <f t="shared" si="9"/>
        <v>Low</v>
      </c>
      <c r="T99" s="1" t="str">
        <f t="shared" si="10"/>
        <v>Low</v>
      </c>
      <c r="U99" s="1" t="str">
        <f t="shared" si="11"/>
        <v>Low</v>
      </c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6"/>
        <v>947.25</v>
      </c>
      <c r="Q100" s="1">
        <f t="shared" si="7"/>
        <v>189.45000000000002</v>
      </c>
      <c r="R100" s="11">
        <f t="shared" si="8"/>
        <v>757.8</v>
      </c>
      <c r="S100" s="1" t="str">
        <f t="shared" si="9"/>
        <v>Low</v>
      </c>
      <c r="T100" s="1" t="str">
        <f t="shared" si="10"/>
        <v>Low</v>
      </c>
      <c r="U100" s="1" t="str">
        <f t="shared" si="11"/>
        <v>Low</v>
      </c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6"/>
        <v>22096.97</v>
      </c>
      <c r="Q101" s="1">
        <f t="shared" si="7"/>
        <v>2209.6970000000001</v>
      </c>
      <c r="R101" s="11">
        <f t="shared" si="8"/>
        <v>19887.273000000001</v>
      </c>
      <c r="S101" s="1" t="str">
        <f t="shared" si="9"/>
        <v>High</v>
      </c>
      <c r="T101" s="1" t="str">
        <f t="shared" si="10"/>
        <v>High</v>
      </c>
      <c r="U101" s="1" t="str">
        <f t="shared" si="11"/>
        <v>High</v>
      </c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6"/>
        <v>13465.44</v>
      </c>
      <c r="Q102" s="1">
        <f t="shared" si="7"/>
        <v>2019.816</v>
      </c>
      <c r="R102" s="11">
        <f t="shared" si="8"/>
        <v>11445.624</v>
      </c>
      <c r="S102" s="1" t="str">
        <f t="shared" si="9"/>
        <v>High</v>
      </c>
      <c r="T102" s="1" t="str">
        <f t="shared" si="10"/>
        <v>High</v>
      </c>
      <c r="U102" s="1" t="str">
        <f t="shared" si="11"/>
        <v>High</v>
      </c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6"/>
        <v>3718.06</v>
      </c>
      <c r="Q103" s="1">
        <f t="shared" si="7"/>
        <v>743.61200000000008</v>
      </c>
      <c r="R103" s="11">
        <f t="shared" si="8"/>
        <v>2974.4479999999999</v>
      </c>
      <c r="S103" s="1" t="str">
        <f t="shared" si="9"/>
        <v>Low</v>
      </c>
      <c r="T103" s="1" t="str">
        <f t="shared" si="10"/>
        <v>Low</v>
      </c>
      <c r="U103" s="1" t="str">
        <f t="shared" si="11"/>
        <v>Low</v>
      </c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6"/>
        <v>25132.38</v>
      </c>
      <c r="Q104" s="1">
        <f t="shared" si="7"/>
        <v>5026.4760000000006</v>
      </c>
      <c r="R104" s="11">
        <f t="shared" si="8"/>
        <v>20105.904000000002</v>
      </c>
      <c r="S104" s="1" t="str">
        <f t="shared" si="9"/>
        <v>High</v>
      </c>
      <c r="T104" s="1" t="str">
        <f t="shared" si="10"/>
        <v>High</v>
      </c>
      <c r="U104" s="1" t="str">
        <f t="shared" si="11"/>
        <v>High</v>
      </c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6"/>
        <v>13417.550000000001</v>
      </c>
      <c r="Q105" s="1">
        <f t="shared" si="7"/>
        <v>1341.7550000000001</v>
      </c>
      <c r="R105" s="11">
        <f t="shared" si="8"/>
        <v>12075.795000000002</v>
      </c>
      <c r="S105" s="1" t="str">
        <f t="shared" si="9"/>
        <v>High</v>
      </c>
      <c r="T105" s="1" t="str">
        <f t="shared" si="10"/>
        <v>Medium</v>
      </c>
      <c r="U105" s="1" t="str">
        <f t="shared" si="11"/>
        <v>Medium</v>
      </c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6"/>
        <v>905.15</v>
      </c>
      <c r="Q106" s="1">
        <f t="shared" si="7"/>
        <v>90.515000000000001</v>
      </c>
      <c r="R106" s="11">
        <f t="shared" si="8"/>
        <v>814.63499999999999</v>
      </c>
      <c r="S106" s="1" t="str">
        <f t="shared" si="9"/>
        <v>High</v>
      </c>
      <c r="T106" s="1" t="str">
        <f t="shared" si="10"/>
        <v>Medium</v>
      </c>
      <c r="U106" s="1" t="str">
        <f t="shared" si="11"/>
        <v>Medium</v>
      </c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6"/>
        <v>11343.66</v>
      </c>
      <c r="Q107" s="1">
        <f t="shared" si="7"/>
        <v>567.18299999999999</v>
      </c>
      <c r="R107" s="11">
        <f t="shared" si="8"/>
        <v>10776.476999999999</v>
      </c>
      <c r="S107" s="1" t="str">
        <f t="shared" si="9"/>
        <v>Low</v>
      </c>
      <c r="T107" s="1" t="str">
        <f t="shared" si="10"/>
        <v>Low</v>
      </c>
      <c r="U107" s="1" t="str">
        <f t="shared" si="11"/>
        <v>Low</v>
      </c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6"/>
        <v>5315.05</v>
      </c>
      <c r="Q108" s="1">
        <f t="shared" si="7"/>
        <v>797.25750000000005</v>
      </c>
      <c r="R108" s="11">
        <f t="shared" si="8"/>
        <v>4517.7925000000005</v>
      </c>
      <c r="S108" s="1" t="str">
        <f t="shared" si="9"/>
        <v>High</v>
      </c>
      <c r="T108" s="1" t="str">
        <f t="shared" si="10"/>
        <v>Medium</v>
      </c>
      <c r="U108" s="1" t="str">
        <f t="shared" si="11"/>
        <v>Medium</v>
      </c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6"/>
        <v>1128.6199999999999</v>
      </c>
      <c r="Q109" s="1">
        <f t="shared" si="7"/>
        <v>169.29299999999998</v>
      </c>
      <c r="R109" s="11">
        <f t="shared" si="8"/>
        <v>959.32699999999988</v>
      </c>
      <c r="S109" s="1" t="str">
        <f t="shared" si="9"/>
        <v>Low</v>
      </c>
      <c r="T109" s="1" t="str">
        <f t="shared" si="10"/>
        <v>Low</v>
      </c>
      <c r="U109" s="1" t="str">
        <f t="shared" si="11"/>
        <v>Low</v>
      </c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6"/>
        <v>12429.16</v>
      </c>
      <c r="Q110" s="1">
        <f t="shared" si="7"/>
        <v>1242.9160000000002</v>
      </c>
      <c r="R110" s="11">
        <f t="shared" si="8"/>
        <v>11186.243999999999</v>
      </c>
      <c r="S110" s="1" t="str">
        <f t="shared" si="9"/>
        <v>Low</v>
      </c>
      <c r="T110" s="1" t="str">
        <f t="shared" si="10"/>
        <v>Low</v>
      </c>
      <c r="U110" s="1" t="str">
        <f t="shared" si="11"/>
        <v>Low</v>
      </c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6"/>
        <v>12461.04</v>
      </c>
      <c r="Q111" s="1">
        <f t="shared" si="7"/>
        <v>2492.2080000000005</v>
      </c>
      <c r="R111" s="11">
        <f t="shared" si="8"/>
        <v>9968.8320000000003</v>
      </c>
      <c r="S111" s="1" t="str">
        <f t="shared" si="9"/>
        <v>High</v>
      </c>
      <c r="T111" s="1" t="str">
        <f t="shared" si="10"/>
        <v>High</v>
      </c>
      <c r="U111" s="1" t="str">
        <f t="shared" si="11"/>
        <v>High</v>
      </c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6"/>
        <v>1820.02</v>
      </c>
      <c r="Q112" s="1">
        <f t="shared" si="7"/>
        <v>182.00200000000001</v>
      </c>
      <c r="R112" s="11">
        <f t="shared" si="8"/>
        <v>1638.018</v>
      </c>
      <c r="S112" s="1" t="str">
        <f t="shared" si="9"/>
        <v>Low</v>
      </c>
      <c r="T112" s="1" t="str">
        <f t="shared" si="10"/>
        <v>Low</v>
      </c>
      <c r="U112" s="1" t="str">
        <f t="shared" si="11"/>
        <v>Low</v>
      </c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6"/>
        <v>4442.3599999999997</v>
      </c>
      <c r="Q113" s="1">
        <f t="shared" si="7"/>
        <v>888.47199999999998</v>
      </c>
      <c r="R113" s="11">
        <f t="shared" si="8"/>
        <v>3553.8879999999999</v>
      </c>
      <c r="S113" s="1" t="str">
        <f t="shared" si="9"/>
        <v>Low</v>
      </c>
      <c r="T113" s="1" t="str">
        <f t="shared" si="10"/>
        <v>Low</v>
      </c>
      <c r="U113" s="1" t="str">
        <f t="shared" si="11"/>
        <v>Low</v>
      </c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6"/>
        <v>13546.619999999999</v>
      </c>
      <c r="Q114" s="1">
        <f t="shared" si="7"/>
        <v>2709.3240000000001</v>
      </c>
      <c r="R114" s="11">
        <f t="shared" si="8"/>
        <v>10837.295999999998</v>
      </c>
      <c r="S114" s="1" t="str">
        <f t="shared" si="9"/>
        <v>High</v>
      </c>
      <c r="T114" s="1" t="str">
        <f t="shared" si="10"/>
        <v>High</v>
      </c>
      <c r="U114" s="1" t="str">
        <f t="shared" si="11"/>
        <v>High</v>
      </c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6"/>
        <v>10857.420000000002</v>
      </c>
      <c r="Q115" s="1">
        <f t="shared" si="7"/>
        <v>1085.7420000000002</v>
      </c>
      <c r="R115" s="11">
        <f t="shared" si="8"/>
        <v>9771.6780000000017</v>
      </c>
      <c r="S115" s="1" t="str">
        <f t="shared" si="9"/>
        <v>High</v>
      </c>
      <c r="T115" s="1" t="str">
        <f t="shared" si="10"/>
        <v>High</v>
      </c>
      <c r="U115" s="1" t="str">
        <f t="shared" si="11"/>
        <v>High</v>
      </c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6"/>
        <v>7242.18</v>
      </c>
      <c r="Q116" s="1">
        <f t="shared" si="7"/>
        <v>0</v>
      </c>
      <c r="R116" s="11">
        <f t="shared" si="8"/>
        <v>7242.18</v>
      </c>
      <c r="S116" s="1" t="str">
        <f t="shared" si="9"/>
        <v>Low</v>
      </c>
      <c r="T116" s="1" t="str">
        <f t="shared" si="10"/>
        <v>Low</v>
      </c>
      <c r="U116" s="1" t="str">
        <f t="shared" si="11"/>
        <v>Low</v>
      </c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6"/>
        <v>6849.78</v>
      </c>
      <c r="Q117" s="1">
        <f t="shared" si="7"/>
        <v>1027.4669999999999</v>
      </c>
      <c r="R117" s="11">
        <f t="shared" si="8"/>
        <v>5822.3130000000001</v>
      </c>
      <c r="S117" s="1" t="str">
        <f t="shared" si="9"/>
        <v>High</v>
      </c>
      <c r="T117" s="1" t="str">
        <f t="shared" si="10"/>
        <v>High</v>
      </c>
      <c r="U117" s="1" t="str">
        <f t="shared" si="11"/>
        <v>High</v>
      </c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6"/>
        <v>21328.62</v>
      </c>
      <c r="Q118" s="1">
        <f t="shared" si="7"/>
        <v>4265.7240000000002</v>
      </c>
      <c r="R118" s="11">
        <f t="shared" si="8"/>
        <v>17062.896000000001</v>
      </c>
      <c r="S118" s="1" t="str">
        <f t="shared" si="9"/>
        <v>High</v>
      </c>
      <c r="T118" s="1" t="str">
        <f t="shared" si="10"/>
        <v>High</v>
      </c>
      <c r="U118" s="1" t="str">
        <f t="shared" si="11"/>
        <v>High</v>
      </c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6"/>
        <v>4607.42</v>
      </c>
      <c r="Q119" s="1">
        <f t="shared" si="7"/>
        <v>921.48400000000004</v>
      </c>
      <c r="R119" s="11">
        <f t="shared" si="8"/>
        <v>3685.9360000000001</v>
      </c>
      <c r="S119" s="1" t="str">
        <f t="shared" si="9"/>
        <v>Low</v>
      </c>
      <c r="T119" s="1" t="str">
        <f t="shared" si="10"/>
        <v>Low</v>
      </c>
      <c r="U119" s="1" t="str">
        <f t="shared" si="11"/>
        <v>Low</v>
      </c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6"/>
        <v>26717.439999999999</v>
      </c>
      <c r="Q120" s="1">
        <f t="shared" si="7"/>
        <v>0</v>
      </c>
      <c r="R120" s="11">
        <f t="shared" si="8"/>
        <v>26717.439999999999</v>
      </c>
      <c r="S120" s="1" t="str">
        <f t="shared" si="9"/>
        <v>High</v>
      </c>
      <c r="T120" s="1" t="str">
        <f t="shared" si="10"/>
        <v>High</v>
      </c>
      <c r="U120" s="1" t="str">
        <f t="shared" si="11"/>
        <v>High</v>
      </c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6"/>
        <v>20261.22</v>
      </c>
      <c r="Q121" s="1">
        <f t="shared" si="7"/>
        <v>1013.0610000000001</v>
      </c>
      <c r="R121" s="11">
        <f t="shared" si="8"/>
        <v>19248.159</v>
      </c>
      <c r="S121" s="1" t="str">
        <f t="shared" si="9"/>
        <v>High</v>
      </c>
      <c r="T121" s="1" t="str">
        <f t="shared" si="10"/>
        <v>High</v>
      </c>
      <c r="U121" s="1" t="str">
        <f t="shared" si="11"/>
        <v>High</v>
      </c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6"/>
        <v>14161.400000000001</v>
      </c>
      <c r="Q122" s="1">
        <f t="shared" si="7"/>
        <v>0</v>
      </c>
      <c r="R122" s="11">
        <f t="shared" si="8"/>
        <v>14161.400000000001</v>
      </c>
      <c r="S122" s="1" t="str">
        <f t="shared" si="9"/>
        <v>High</v>
      </c>
      <c r="T122" s="1" t="str">
        <f t="shared" si="10"/>
        <v>Medium</v>
      </c>
      <c r="U122" s="1" t="str">
        <f t="shared" si="11"/>
        <v>Medium</v>
      </c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6"/>
        <v>6993.65</v>
      </c>
      <c r="Q123" s="1">
        <f t="shared" si="7"/>
        <v>0</v>
      </c>
      <c r="R123" s="11">
        <f t="shared" si="8"/>
        <v>6993.65</v>
      </c>
      <c r="S123" s="1" t="str">
        <f t="shared" si="9"/>
        <v>High</v>
      </c>
      <c r="T123" s="1" t="str">
        <f t="shared" si="10"/>
        <v>Medium</v>
      </c>
      <c r="U123" s="1" t="str">
        <f t="shared" si="11"/>
        <v>Medium</v>
      </c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6"/>
        <v>7353.5</v>
      </c>
      <c r="Q124" s="1">
        <f t="shared" si="7"/>
        <v>1470.7</v>
      </c>
      <c r="R124" s="11">
        <f t="shared" si="8"/>
        <v>5882.8</v>
      </c>
      <c r="S124" s="1" t="str">
        <f t="shared" si="9"/>
        <v>High</v>
      </c>
      <c r="T124" s="1" t="str">
        <f t="shared" si="10"/>
        <v>High</v>
      </c>
      <c r="U124" s="1" t="str">
        <f t="shared" si="11"/>
        <v>High</v>
      </c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6"/>
        <v>8657.19</v>
      </c>
      <c r="Q125" s="1">
        <f t="shared" si="7"/>
        <v>1298.5785000000001</v>
      </c>
      <c r="R125" s="11">
        <f t="shared" si="8"/>
        <v>7358.6115000000009</v>
      </c>
      <c r="S125" s="1" t="str">
        <f t="shared" si="9"/>
        <v>High</v>
      </c>
      <c r="T125" s="1" t="str">
        <f t="shared" si="10"/>
        <v>High</v>
      </c>
      <c r="U125" s="1" t="str">
        <f t="shared" si="11"/>
        <v>High</v>
      </c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6"/>
        <v>31051.71</v>
      </c>
      <c r="Q126" s="1">
        <f t="shared" si="7"/>
        <v>0</v>
      </c>
      <c r="R126" s="11">
        <f t="shared" si="8"/>
        <v>31051.71</v>
      </c>
      <c r="S126" s="1" t="str">
        <f t="shared" si="9"/>
        <v>High</v>
      </c>
      <c r="T126" s="1" t="str">
        <f t="shared" si="10"/>
        <v>High</v>
      </c>
      <c r="U126" s="1" t="str">
        <f t="shared" si="11"/>
        <v>High</v>
      </c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6"/>
        <v>29777.759999999998</v>
      </c>
      <c r="Q127" s="1">
        <f t="shared" si="7"/>
        <v>1488.8879999999999</v>
      </c>
      <c r="R127" s="11">
        <f t="shared" si="8"/>
        <v>28288.871999999999</v>
      </c>
      <c r="S127" s="1" t="str">
        <f t="shared" si="9"/>
        <v>High</v>
      </c>
      <c r="T127" s="1" t="str">
        <f t="shared" si="10"/>
        <v>High</v>
      </c>
      <c r="U127" s="1" t="str">
        <f t="shared" si="11"/>
        <v>High</v>
      </c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6"/>
        <v>11077.26</v>
      </c>
      <c r="Q128" s="1">
        <f t="shared" si="7"/>
        <v>1107.7260000000001</v>
      </c>
      <c r="R128" s="11">
        <f t="shared" si="8"/>
        <v>9969.5339999999997</v>
      </c>
      <c r="S128" s="1" t="str">
        <f t="shared" si="9"/>
        <v>High</v>
      </c>
      <c r="T128" s="1" t="str">
        <f t="shared" si="10"/>
        <v>High</v>
      </c>
      <c r="U128" s="1" t="str">
        <f t="shared" si="11"/>
        <v>High</v>
      </c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6"/>
        <v>3958.56</v>
      </c>
      <c r="Q129" s="1">
        <f t="shared" si="7"/>
        <v>0</v>
      </c>
      <c r="R129" s="11">
        <f t="shared" si="8"/>
        <v>3958.56</v>
      </c>
      <c r="S129" s="1" t="str">
        <f t="shared" si="9"/>
        <v>High</v>
      </c>
      <c r="T129" s="1" t="str">
        <f t="shared" si="10"/>
        <v>High</v>
      </c>
      <c r="U129" s="1" t="str">
        <f t="shared" si="11"/>
        <v>High</v>
      </c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6"/>
        <v>4865.01</v>
      </c>
      <c r="Q130" s="1">
        <f t="shared" si="7"/>
        <v>0</v>
      </c>
      <c r="R130" s="11">
        <f t="shared" si="8"/>
        <v>4865.01</v>
      </c>
      <c r="S130" s="1" t="str">
        <f t="shared" si="9"/>
        <v>Low</v>
      </c>
      <c r="T130" s="1" t="str">
        <f t="shared" si="10"/>
        <v>Low</v>
      </c>
      <c r="U130" s="1" t="str">
        <f t="shared" si="11"/>
        <v>Low</v>
      </c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12">L131*M131</f>
        <v>2534.4699999999998</v>
      </c>
      <c r="Q131" s="1">
        <f t="shared" ref="Q131:Q194" si="13">P131*N131%</f>
        <v>126.7235</v>
      </c>
      <c r="R131" s="11">
        <f t="shared" ref="R131:R194" si="14">P131-Q131</f>
        <v>2407.7464999999997</v>
      </c>
      <c r="S131" s="1" t="str">
        <f t="shared" ref="S131:S194" si="15">IF(L131&gt;=5,"High","Low")</f>
        <v>Low</v>
      </c>
      <c r="T131" s="1" t="str">
        <f t="shared" ref="T131:T194" si="16">IF(L131&gt;5,"High",IF(L131=5,"Medium","Low"))</f>
        <v>Low</v>
      </c>
      <c r="U131" s="1" t="str">
        <f t="shared" ref="U131:U194" si="17">IF(L131&gt;5,"High",IF(L131=5,"Medium","Low"))</f>
        <v>Low</v>
      </c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12"/>
        <v>13296.15</v>
      </c>
      <c r="Q132" s="1">
        <f t="shared" si="13"/>
        <v>1994.4224999999999</v>
      </c>
      <c r="R132" s="11">
        <f t="shared" si="14"/>
        <v>11301.727499999999</v>
      </c>
      <c r="S132" s="1" t="str">
        <f t="shared" si="15"/>
        <v>High</v>
      </c>
      <c r="T132" s="1" t="str">
        <f t="shared" si="16"/>
        <v>High</v>
      </c>
      <c r="U132" s="1" t="str">
        <f t="shared" si="17"/>
        <v>High</v>
      </c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12"/>
        <v>12614.92</v>
      </c>
      <c r="Q133" s="1">
        <f t="shared" si="13"/>
        <v>0</v>
      </c>
      <c r="R133" s="11">
        <f t="shared" si="14"/>
        <v>12614.92</v>
      </c>
      <c r="S133" s="1" t="str">
        <f t="shared" si="15"/>
        <v>Low</v>
      </c>
      <c r="T133" s="1" t="str">
        <f t="shared" si="16"/>
        <v>Low</v>
      </c>
      <c r="U133" s="1" t="str">
        <f t="shared" si="17"/>
        <v>Low</v>
      </c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12"/>
        <v>3990.85</v>
      </c>
      <c r="Q134" s="1">
        <f t="shared" si="13"/>
        <v>0</v>
      </c>
      <c r="R134" s="11">
        <f t="shared" si="14"/>
        <v>3990.85</v>
      </c>
      <c r="S134" s="1" t="str">
        <f t="shared" si="15"/>
        <v>Low</v>
      </c>
      <c r="T134" s="1" t="str">
        <f t="shared" si="16"/>
        <v>Low</v>
      </c>
      <c r="U134" s="1" t="str">
        <f t="shared" si="17"/>
        <v>Low</v>
      </c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12"/>
        <v>7086.88</v>
      </c>
      <c r="Q135" s="1">
        <f t="shared" si="13"/>
        <v>1063.0319999999999</v>
      </c>
      <c r="R135" s="11">
        <f t="shared" si="14"/>
        <v>6023.848</v>
      </c>
      <c r="S135" s="1" t="str">
        <f t="shared" si="15"/>
        <v>High</v>
      </c>
      <c r="T135" s="1" t="str">
        <f t="shared" si="16"/>
        <v>High</v>
      </c>
      <c r="U135" s="1" t="str">
        <f t="shared" si="17"/>
        <v>High</v>
      </c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12"/>
        <v>11517.960000000001</v>
      </c>
      <c r="Q136" s="1">
        <f t="shared" si="13"/>
        <v>575.89800000000002</v>
      </c>
      <c r="R136" s="11">
        <f t="shared" si="14"/>
        <v>10942.062000000002</v>
      </c>
      <c r="S136" s="1" t="str">
        <f t="shared" si="15"/>
        <v>High</v>
      </c>
      <c r="T136" s="1" t="str">
        <f t="shared" si="16"/>
        <v>High</v>
      </c>
      <c r="U136" s="1" t="str">
        <f t="shared" si="17"/>
        <v>High</v>
      </c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12"/>
        <v>10855.74</v>
      </c>
      <c r="Q137" s="1">
        <f t="shared" si="13"/>
        <v>0</v>
      </c>
      <c r="R137" s="11">
        <f t="shared" si="14"/>
        <v>10855.74</v>
      </c>
      <c r="S137" s="1" t="str">
        <f t="shared" si="15"/>
        <v>High</v>
      </c>
      <c r="T137" s="1" t="str">
        <f t="shared" si="16"/>
        <v>High</v>
      </c>
      <c r="U137" s="1" t="str">
        <f t="shared" si="17"/>
        <v>High</v>
      </c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12"/>
        <v>2644.6</v>
      </c>
      <c r="Q138" s="1">
        <f t="shared" si="13"/>
        <v>396.69</v>
      </c>
      <c r="R138" s="11">
        <f t="shared" si="14"/>
        <v>2247.91</v>
      </c>
      <c r="S138" s="1" t="str">
        <f t="shared" si="15"/>
        <v>Low</v>
      </c>
      <c r="T138" s="1" t="str">
        <f t="shared" si="16"/>
        <v>Low</v>
      </c>
      <c r="U138" s="1" t="str">
        <f t="shared" si="17"/>
        <v>Low</v>
      </c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12"/>
        <v>912.67</v>
      </c>
      <c r="Q139" s="1">
        <f t="shared" si="13"/>
        <v>0</v>
      </c>
      <c r="R139" s="11">
        <f t="shared" si="14"/>
        <v>912.67</v>
      </c>
      <c r="S139" s="1" t="str">
        <f t="shared" si="15"/>
        <v>Low</v>
      </c>
      <c r="T139" s="1" t="str">
        <f t="shared" si="16"/>
        <v>Low</v>
      </c>
      <c r="U139" s="1" t="str">
        <f t="shared" si="17"/>
        <v>Low</v>
      </c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12"/>
        <v>805.82</v>
      </c>
      <c r="Q140" s="1">
        <f t="shared" si="13"/>
        <v>80.582000000000008</v>
      </c>
      <c r="R140" s="11">
        <f t="shared" si="14"/>
        <v>725.23800000000006</v>
      </c>
      <c r="S140" s="1" t="str">
        <f t="shared" si="15"/>
        <v>Low</v>
      </c>
      <c r="T140" s="1" t="str">
        <f t="shared" si="16"/>
        <v>Low</v>
      </c>
      <c r="U140" s="1" t="str">
        <f t="shared" si="17"/>
        <v>Low</v>
      </c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12"/>
        <v>14261.64</v>
      </c>
      <c r="Q141" s="1">
        <f t="shared" si="13"/>
        <v>2852.328</v>
      </c>
      <c r="R141" s="11">
        <f t="shared" si="14"/>
        <v>11409.312</v>
      </c>
      <c r="S141" s="1" t="str">
        <f t="shared" si="15"/>
        <v>Low</v>
      </c>
      <c r="T141" s="1" t="str">
        <f t="shared" si="16"/>
        <v>Low</v>
      </c>
      <c r="U141" s="1" t="str">
        <f t="shared" si="17"/>
        <v>Low</v>
      </c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12"/>
        <v>3532.84</v>
      </c>
      <c r="Q142" s="1">
        <f t="shared" si="13"/>
        <v>353.28400000000005</v>
      </c>
      <c r="R142" s="11">
        <f t="shared" si="14"/>
        <v>3179.556</v>
      </c>
      <c r="S142" s="1" t="str">
        <f t="shared" si="15"/>
        <v>Low</v>
      </c>
      <c r="T142" s="1" t="str">
        <f t="shared" si="16"/>
        <v>Low</v>
      </c>
      <c r="U142" s="1" t="str">
        <f t="shared" si="17"/>
        <v>Low</v>
      </c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12"/>
        <v>2063.0500000000002</v>
      </c>
      <c r="Q143" s="1">
        <f t="shared" si="13"/>
        <v>0</v>
      </c>
      <c r="R143" s="11">
        <f t="shared" si="14"/>
        <v>2063.0500000000002</v>
      </c>
      <c r="S143" s="1" t="str">
        <f t="shared" si="15"/>
        <v>Low</v>
      </c>
      <c r="T143" s="1" t="str">
        <f t="shared" si="16"/>
        <v>Low</v>
      </c>
      <c r="U143" s="1" t="str">
        <f t="shared" si="17"/>
        <v>Low</v>
      </c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12"/>
        <v>25761.61</v>
      </c>
      <c r="Q144" s="1">
        <f t="shared" si="13"/>
        <v>1288.0805</v>
      </c>
      <c r="R144" s="11">
        <f t="shared" si="14"/>
        <v>24473.529500000001</v>
      </c>
      <c r="S144" s="1" t="str">
        <f t="shared" si="15"/>
        <v>High</v>
      </c>
      <c r="T144" s="1" t="str">
        <f t="shared" si="16"/>
        <v>High</v>
      </c>
      <c r="U144" s="1" t="str">
        <f t="shared" si="17"/>
        <v>High</v>
      </c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12"/>
        <v>25109.759999999998</v>
      </c>
      <c r="Q145" s="1">
        <f t="shared" si="13"/>
        <v>5021.9520000000002</v>
      </c>
      <c r="R145" s="11">
        <f t="shared" si="14"/>
        <v>20087.807999999997</v>
      </c>
      <c r="S145" s="1" t="str">
        <f t="shared" si="15"/>
        <v>High</v>
      </c>
      <c r="T145" s="1" t="str">
        <f t="shared" si="16"/>
        <v>High</v>
      </c>
      <c r="U145" s="1" t="str">
        <f t="shared" si="17"/>
        <v>High</v>
      </c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12"/>
        <v>3914.58</v>
      </c>
      <c r="Q146" s="1">
        <f t="shared" si="13"/>
        <v>391.45800000000003</v>
      </c>
      <c r="R146" s="11">
        <f t="shared" si="14"/>
        <v>3523.1219999999998</v>
      </c>
      <c r="S146" s="1" t="str">
        <f t="shared" si="15"/>
        <v>High</v>
      </c>
      <c r="T146" s="1" t="str">
        <f t="shared" si="16"/>
        <v>High</v>
      </c>
      <c r="U146" s="1" t="str">
        <f t="shared" si="17"/>
        <v>High</v>
      </c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12"/>
        <v>9307.48</v>
      </c>
      <c r="Q147" s="1">
        <f t="shared" si="13"/>
        <v>1396.1219999999998</v>
      </c>
      <c r="R147" s="11">
        <f t="shared" si="14"/>
        <v>7911.3580000000002</v>
      </c>
      <c r="S147" s="1" t="str">
        <f t="shared" si="15"/>
        <v>Low</v>
      </c>
      <c r="T147" s="1" t="str">
        <f t="shared" si="16"/>
        <v>Low</v>
      </c>
      <c r="U147" s="1" t="str">
        <f t="shared" si="17"/>
        <v>Low</v>
      </c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12"/>
        <v>11116.02</v>
      </c>
      <c r="Q148" s="1">
        <f t="shared" si="13"/>
        <v>555.80100000000004</v>
      </c>
      <c r="R148" s="11">
        <f t="shared" si="14"/>
        <v>10560.219000000001</v>
      </c>
      <c r="S148" s="1" t="str">
        <f t="shared" si="15"/>
        <v>High</v>
      </c>
      <c r="T148" s="1" t="str">
        <f t="shared" si="16"/>
        <v>High</v>
      </c>
      <c r="U148" s="1" t="str">
        <f t="shared" si="17"/>
        <v>High</v>
      </c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12"/>
        <v>9657.7800000000007</v>
      </c>
      <c r="Q149" s="1">
        <f t="shared" si="13"/>
        <v>965.77800000000013</v>
      </c>
      <c r="R149" s="11">
        <f t="shared" si="14"/>
        <v>8692.0020000000004</v>
      </c>
      <c r="S149" s="1" t="str">
        <f t="shared" si="15"/>
        <v>Low</v>
      </c>
      <c r="T149" s="1" t="str">
        <f t="shared" si="16"/>
        <v>Low</v>
      </c>
      <c r="U149" s="1" t="str">
        <f t="shared" si="17"/>
        <v>Low</v>
      </c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12"/>
        <v>23506.400000000001</v>
      </c>
      <c r="Q150" s="1">
        <f t="shared" si="13"/>
        <v>3525.96</v>
      </c>
      <c r="R150" s="11">
        <f t="shared" si="14"/>
        <v>19980.440000000002</v>
      </c>
      <c r="S150" s="1" t="str">
        <f t="shared" si="15"/>
        <v>High</v>
      </c>
      <c r="T150" s="1" t="str">
        <f t="shared" si="16"/>
        <v>High</v>
      </c>
      <c r="U150" s="1" t="str">
        <f t="shared" si="17"/>
        <v>High</v>
      </c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12"/>
        <v>5616.12</v>
      </c>
      <c r="Q151" s="1">
        <f t="shared" si="13"/>
        <v>0</v>
      </c>
      <c r="R151" s="11">
        <f t="shared" si="14"/>
        <v>5616.12</v>
      </c>
      <c r="S151" s="1" t="str">
        <f t="shared" si="15"/>
        <v>Low</v>
      </c>
      <c r="T151" s="1" t="str">
        <f t="shared" si="16"/>
        <v>Low</v>
      </c>
      <c r="U151" s="1" t="str">
        <f t="shared" si="17"/>
        <v>Low</v>
      </c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12"/>
        <v>7305.5</v>
      </c>
      <c r="Q152" s="1">
        <f t="shared" si="13"/>
        <v>1095.825</v>
      </c>
      <c r="R152" s="11">
        <f t="shared" si="14"/>
        <v>6209.6750000000002</v>
      </c>
      <c r="S152" s="1" t="str">
        <f t="shared" si="15"/>
        <v>High</v>
      </c>
      <c r="T152" s="1" t="str">
        <f t="shared" si="16"/>
        <v>Medium</v>
      </c>
      <c r="U152" s="1" t="str">
        <f t="shared" si="17"/>
        <v>Medium</v>
      </c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12"/>
        <v>3249.11</v>
      </c>
      <c r="Q153" s="1">
        <f t="shared" si="13"/>
        <v>324.91100000000006</v>
      </c>
      <c r="R153" s="11">
        <f t="shared" si="14"/>
        <v>2924.1990000000001</v>
      </c>
      <c r="S153" s="1" t="str">
        <f t="shared" si="15"/>
        <v>Low</v>
      </c>
      <c r="T153" s="1" t="str">
        <f t="shared" si="16"/>
        <v>Low</v>
      </c>
      <c r="U153" s="1" t="str">
        <f t="shared" si="17"/>
        <v>Low</v>
      </c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12"/>
        <v>2110.2599999999998</v>
      </c>
      <c r="Q154" s="1">
        <f t="shared" si="13"/>
        <v>211.02599999999998</v>
      </c>
      <c r="R154" s="11">
        <f t="shared" si="14"/>
        <v>1899.2339999999997</v>
      </c>
      <c r="S154" s="1" t="str">
        <f t="shared" si="15"/>
        <v>High</v>
      </c>
      <c r="T154" s="1" t="str">
        <f t="shared" si="16"/>
        <v>High</v>
      </c>
      <c r="U154" s="1" t="str">
        <f t="shared" si="17"/>
        <v>High</v>
      </c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12"/>
        <v>1529.12</v>
      </c>
      <c r="Q155" s="1">
        <f t="shared" si="13"/>
        <v>0</v>
      </c>
      <c r="R155" s="11">
        <f t="shared" si="14"/>
        <v>1529.12</v>
      </c>
      <c r="S155" s="1" t="str">
        <f t="shared" si="15"/>
        <v>Low</v>
      </c>
      <c r="T155" s="1" t="str">
        <f t="shared" si="16"/>
        <v>Low</v>
      </c>
      <c r="U155" s="1" t="str">
        <f t="shared" si="17"/>
        <v>Low</v>
      </c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12"/>
        <v>5768.6</v>
      </c>
      <c r="Q156" s="1">
        <f t="shared" si="13"/>
        <v>865.29000000000008</v>
      </c>
      <c r="R156" s="11">
        <f t="shared" si="14"/>
        <v>4903.3100000000004</v>
      </c>
      <c r="S156" s="1" t="str">
        <f t="shared" si="15"/>
        <v>Low</v>
      </c>
      <c r="T156" s="1" t="str">
        <f t="shared" si="16"/>
        <v>Low</v>
      </c>
      <c r="U156" s="1" t="str">
        <f t="shared" si="17"/>
        <v>Low</v>
      </c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12"/>
        <v>2674.2599999999998</v>
      </c>
      <c r="Q157" s="1">
        <f t="shared" si="13"/>
        <v>401.13899999999995</v>
      </c>
      <c r="R157" s="11">
        <f t="shared" si="14"/>
        <v>2273.1209999999996</v>
      </c>
      <c r="S157" s="1" t="str">
        <f t="shared" si="15"/>
        <v>High</v>
      </c>
      <c r="T157" s="1" t="str">
        <f t="shared" si="16"/>
        <v>High</v>
      </c>
      <c r="U157" s="1" t="str">
        <f t="shared" si="17"/>
        <v>High</v>
      </c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12"/>
        <v>8437.84</v>
      </c>
      <c r="Q158" s="1">
        <f t="shared" si="13"/>
        <v>0</v>
      </c>
      <c r="R158" s="11">
        <f t="shared" si="14"/>
        <v>8437.84</v>
      </c>
      <c r="S158" s="1" t="str">
        <f t="shared" si="15"/>
        <v>High</v>
      </c>
      <c r="T158" s="1" t="str">
        <f t="shared" si="16"/>
        <v>High</v>
      </c>
      <c r="U158" s="1" t="str">
        <f t="shared" si="17"/>
        <v>High</v>
      </c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12"/>
        <v>26768.639999999999</v>
      </c>
      <c r="Q159" s="1">
        <f t="shared" si="13"/>
        <v>4015.2959999999998</v>
      </c>
      <c r="R159" s="11">
        <f t="shared" si="14"/>
        <v>22753.344000000001</v>
      </c>
      <c r="S159" s="1" t="str">
        <f t="shared" si="15"/>
        <v>High</v>
      </c>
      <c r="T159" s="1" t="str">
        <f t="shared" si="16"/>
        <v>High</v>
      </c>
      <c r="U159" s="1" t="str">
        <f t="shared" si="17"/>
        <v>High</v>
      </c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12"/>
        <v>22804.62</v>
      </c>
      <c r="Q160" s="1">
        <f t="shared" si="13"/>
        <v>0</v>
      </c>
      <c r="R160" s="11">
        <f t="shared" si="14"/>
        <v>22804.62</v>
      </c>
      <c r="S160" s="1" t="str">
        <f t="shared" si="15"/>
        <v>High</v>
      </c>
      <c r="T160" s="1" t="str">
        <f t="shared" si="16"/>
        <v>High</v>
      </c>
      <c r="U160" s="1" t="str">
        <f t="shared" si="17"/>
        <v>High</v>
      </c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12"/>
        <v>5290.88</v>
      </c>
      <c r="Q161" s="1">
        <f t="shared" si="13"/>
        <v>264.54400000000004</v>
      </c>
      <c r="R161" s="11">
        <f t="shared" si="14"/>
        <v>5026.3360000000002</v>
      </c>
      <c r="S161" s="1" t="str">
        <f t="shared" si="15"/>
        <v>Low</v>
      </c>
      <c r="T161" s="1" t="str">
        <f t="shared" si="16"/>
        <v>Low</v>
      </c>
      <c r="U161" s="1" t="str">
        <f t="shared" si="17"/>
        <v>Low</v>
      </c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12"/>
        <v>9347.1200000000008</v>
      </c>
      <c r="Q162" s="1">
        <f t="shared" si="13"/>
        <v>934.7120000000001</v>
      </c>
      <c r="R162" s="11">
        <f t="shared" si="14"/>
        <v>8412.4080000000013</v>
      </c>
      <c r="S162" s="1" t="str">
        <f t="shared" si="15"/>
        <v>High</v>
      </c>
      <c r="T162" s="1" t="str">
        <f t="shared" si="16"/>
        <v>High</v>
      </c>
      <c r="U162" s="1" t="str">
        <f t="shared" si="17"/>
        <v>High</v>
      </c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12"/>
        <v>9820.7199999999993</v>
      </c>
      <c r="Q163" s="1">
        <f t="shared" si="13"/>
        <v>491.036</v>
      </c>
      <c r="R163" s="11">
        <f t="shared" si="14"/>
        <v>9329.6839999999993</v>
      </c>
      <c r="S163" s="1" t="str">
        <f t="shared" si="15"/>
        <v>High</v>
      </c>
      <c r="T163" s="1" t="str">
        <f t="shared" si="16"/>
        <v>High</v>
      </c>
      <c r="U163" s="1" t="str">
        <f t="shared" si="17"/>
        <v>High</v>
      </c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12"/>
        <v>1219.22</v>
      </c>
      <c r="Q164" s="1">
        <f t="shared" si="13"/>
        <v>243.84400000000002</v>
      </c>
      <c r="R164" s="11">
        <f t="shared" si="14"/>
        <v>975.37599999999998</v>
      </c>
      <c r="S164" s="1" t="str">
        <f t="shared" si="15"/>
        <v>Low</v>
      </c>
      <c r="T164" s="1" t="str">
        <f t="shared" si="16"/>
        <v>Low</v>
      </c>
      <c r="U164" s="1" t="str">
        <f t="shared" si="17"/>
        <v>Low</v>
      </c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12"/>
        <v>1153.32</v>
      </c>
      <c r="Q165" s="1">
        <f t="shared" si="13"/>
        <v>230.66399999999999</v>
      </c>
      <c r="R165" s="11">
        <f t="shared" si="14"/>
        <v>922.65599999999995</v>
      </c>
      <c r="S165" s="1" t="str">
        <f t="shared" si="15"/>
        <v>Low</v>
      </c>
      <c r="T165" s="1" t="str">
        <f t="shared" si="16"/>
        <v>Low</v>
      </c>
      <c r="U165" s="1" t="str">
        <f t="shared" si="17"/>
        <v>Low</v>
      </c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12"/>
        <v>14874.52</v>
      </c>
      <c r="Q166" s="1">
        <f t="shared" si="13"/>
        <v>2974.9040000000005</v>
      </c>
      <c r="R166" s="11">
        <f t="shared" si="14"/>
        <v>11899.616</v>
      </c>
      <c r="S166" s="1" t="str">
        <f t="shared" si="15"/>
        <v>Low</v>
      </c>
      <c r="T166" s="1" t="str">
        <f t="shared" si="16"/>
        <v>Low</v>
      </c>
      <c r="U166" s="1" t="str">
        <f t="shared" si="17"/>
        <v>Low</v>
      </c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12"/>
        <v>6809.18</v>
      </c>
      <c r="Q167" s="1">
        <f t="shared" si="13"/>
        <v>0</v>
      </c>
      <c r="R167" s="11">
        <f t="shared" si="14"/>
        <v>6809.18</v>
      </c>
      <c r="S167" s="1" t="str">
        <f t="shared" si="15"/>
        <v>High</v>
      </c>
      <c r="T167" s="1" t="str">
        <f t="shared" si="16"/>
        <v>High</v>
      </c>
      <c r="U167" s="1" t="str">
        <f t="shared" si="17"/>
        <v>High</v>
      </c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12"/>
        <v>12369.14</v>
      </c>
      <c r="Q168" s="1">
        <f t="shared" si="13"/>
        <v>1855.3709999999999</v>
      </c>
      <c r="R168" s="11">
        <f t="shared" si="14"/>
        <v>10513.769</v>
      </c>
      <c r="S168" s="1" t="str">
        <f t="shared" si="15"/>
        <v>High</v>
      </c>
      <c r="T168" s="1" t="str">
        <f t="shared" si="16"/>
        <v>High</v>
      </c>
      <c r="U168" s="1" t="str">
        <f t="shared" si="17"/>
        <v>High</v>
      </c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12"/>
        <v>1498.32</v>
      </c>
      <c r="Q169" s="1">
        <f t="shared" si="13"/>
        <v>74.915999999999997</v>
      </c>
      <c r="R169" s="11">
        <f t="shared" si="14"/>
        <v>1423.404</v>
      </c>
      <c r="S169" s="1" t="str">
        <f t="shared" si="15"/>
        <v>High</v>
      </c>
      <c r="T169" s="1" t="str">
        <f t="shared" si="16"/>
        <v>High</v>
      </c>
      <c r="U169" s="1" t="str">
        <f t="shared" si="17"/>
        <v>High</v>
      </c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12"/>
        <v>17265.650000000001</v>
      </c>
      <c r="Q170" s="1">
        <f t="shared" si="13"/>
        <v>863.28250000000014</v>
      </c>
      <c r="R170" s="11">
        <f t="shared" si="14"/>
        <v>16402.3675</v>
      </c>
      <c r="S170" s="1" t="str">
        <f t="shared" si="15"/>
        <v>High</v>
      </c>
      <c r="T170" s="1" t="str">
        <f t="shared" si="16"/>
        <v>Medium</v>
      </c>
      <c r="U170" s="1" t="str">
        <f t="shared" si="17"/>
        <v>Medium</v>
      </c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12"/>
        <v>20754.72</v>
      </c>
      <c r="Q171" s="1">
        <f t="shared" si="13"/>
        <v>1037.7360000000001</v>
      </c>
      <c r="R171" s="11">
        <f t="shared" si="14"/>
        <v>19716.984</v>
      </c>
      <c r="S171" s="1" t="str">
        <f t="shared" si="15"/>
        <v>High</v>
      </c>
      <c r="T171" s="1" t="str">
        <f t="shared" si="16"/>
        <v>High</v>
      </c>
      <c r="U171" s="1" t="str">
        <f t="shared" si="17"/>
        <v>High</v>
      </c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12"/>
        <v>30360.080000000002</v>
      </c>
      <c r="Q172" s="1">
        <f t="shared" si="13"/>
        <v>1518.0040000000001</v>
      </c>
      <c r="R172" s="11">
        <f t="shared" si="14"/>
        <v>28842.076000000001</v>
      </c>
      <c r="S172" s="1" t="str">
        <f t="shared" si="15"/>
        <v>High</v>
      </c>
      <c r="T172" s="1" t="str">
        <f t="shared" si="16"/>
        <v>High</v>
      </c>
      <c r="U172" s="1" t="str">
        <f t="shared" si="17"/>
        <v>High</v>
      </c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12"/>
        <v>28432.98</v>
      </c>
      <c r="Q173" s="1">
        <f t="shared" si="13"/>
        <v>5686.5960000000005</v>
      </c>
      <c r="R173" s="11">
        <f t="shared" si="14"/>
        <v>22746.383999999998</v>
      </c>
      <c r="S173" s="1" t="str">
        <f t="shared" si="15"/>
        <v>High</v>
      </c>
      <c r="T173" s="1" t="str">
        <f t="shared" si="16"/>
        <v>High</v>
      </c>
      <c r="U173" s="1" t="str">
        <f t="shared" si="17"/>
        <v>High</v>
      </c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12"/>
        <v>4073.31</v>
      </c>
      <c r="Q174" s="1">
        <f t="shared" si="13"/>
        <v>203.66550000000001</v>
      </c>
      <c r="R174" s="11">
        <f t="shared" si="14"/>
        <v>3869.6444999999999</v>
      </c>
      <c r="S174" s="1" t="str">
        <f t="shared" si="15"/>
        <v>Low</v>
      </c>
      <c r="T174" s="1" t="str">
        <f t="shared" si="16"/>
        <v>Low</v>
      </c>
      <c r="U174" s="1" t="str">
        <f t="shared" si="17"/>
        <v>Low</v>
      </c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12"/>
        <v>3312.93</v>
      </c>
      <c r="Q175" s="1">
        <f t="shared" si="13"/>
        <v>496.93949999999995</v>
      </c>
      <c r="R175" s="11">
        <f t="shared" si="14"/>
        <v>2815.9904999999999</v>
      </c>
      <c r="S175" s="1" t="str">
        <f t="shared" si="15"/>
        <v>Low</v>
      </c>
      <c r="T175" s="1" t="str">
        <f t="shared" si="16"/>
        <v>Low</v>
      </c>
      <c r="U175" s="1" t="str">
        <f t="shared" si="17"/>
        <v>Low</v>
      </c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12"/>
        <v>11344.84</v>
      </c>
      <c r="Q176" s="1">
        <f t="shared" si="13"/>
        <v>2268.9680000000003</v>
      </c>
      <c r="R176" s="11">
        <f t="shared" si="14"/>
        <v>9075.8719999999994</v>
      </c>
      <c r="S176" s="1" t="str">
        <f t="shared" si="15"/>
        <v>Low</v>
      </c>
      <c r="T176" s="1" t="str">
        <f t="shared" si="16"/>
        <v>Low</v>
      </c>
      <c r="U176" s="1" t="str">
        <f t="shared" si="17"/>
        <v>Low</v>
      </c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12"/>
        <v>7759.15</v>
      </c>
      <c r="Q177" s="1">
        <f t="shared" si="13"/>
        <v>387.95749999999998</v>
      </c>
      <c r="R177" s="11">
        <f t="shared" si="14"/>
        <v>7371.1924999999992</v>
      </c>
      <c r="S177" s="1" t="str">
        <f t="shared" si="15"/>
        <v>High</v>
      </c>
      <c r="T177" s="1" t="str">
        <f t="shared" si="16"/>
        <v>Medium</v>
      </c>
      <c r="U177" s="1" t="str">
        <f t="shared" si="17"/>
        <v>Medium</v>
      </c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12"/>
        <v>2329.9299999999998</v>
      </c>
      <c r="Q178" s="1">
        <f t="shared" si="13"/>
        <v>0</v>
      </c>
      <c r="R178" s="11">
        <f t="shared" si="14"/>
        <v>2329.9299999999998</v>
      </c>
      <c r="S178" s="1" t="str">
        <f t="shared" si="15"/>
        <v>Low</v>
      </c>
      <c r="T178" s="1" t="str">
        <f t="shared" si="16"/>
        <v>Low</v>
      </c>
      <c r="U178" s="1" t="str">
        <f t="shared" si="17"/>
        <v>Low</v>
      </c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12"/>
        <v>1218.6300000000001</v>
      </c>
      <c r="Q179" s="1">
        <f t="shared" si="13"/>
        <v>121.86300000000001</v>
      </c>
      <c r="R179" s="11">
        <f t="shared" si="14"/>
        <v>1096.7670000000001</v>
      </c>
      <c r="S179" s="1" t="str">
        <f t="shared" si="15"/>
        <v>High</v>
      </c>
      <c r="T179" s="1" t="str">
        <f t="shared" si="16"/>
        <v>High</v>
      </c>
      <c r="U179" s="1" t="str">
        <f t="shared" si="17"/>
        <v>High</v>
      </c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12"/>
        <v>3494.34</v>
      </c>
      <c r="Q180" s="1">
        <f t="shared" si="13"/>
        <v>349.43400000000003</v>
      </c>
      <c r="R180" s="11">
        <f t="shared" si="14"/>
        <v>3144.9059999999999</v>
      </c>
      <c r="S180" s="1" t="str">
        <f t="shared" si="15"/>
        <v>High</v>
      </c>
      <c r="T180" s="1" t="str">
        <f t="shared" si="16"/>
        <v>High</v>
      </c>
      <c r="U180" s="1" t="str">
        <f t="shared" si="17"/>
        <v>High</v>
      </c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12"/>
        <v>17689.36</v>
      </c>
      <c r="Q181" s="1">
        <f t="shared" si="13"/>
        <v>1768.9360000000001</v>
      </c>
      <c r="R181" s="11">
        <f t="shared" si="14"/>
        <v>15920.424000000001</v>
      </c>
      <c r="S181" s="1" t="str">
        <f t="shared" si="15"/>
        <v>High</v>
      </c>
      <c r="T181" s="1" t="str">
        <f t="shared" si="16"/>
        <v>High</v>
      </c>
      <c r="U181" s="1" t="str">
        <f t="shared" si="17"/>
        <v>High</v>
      </c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12"/>
        <v>11646.900000000001</v>
      </c>
      <c r="Q182" s="1">
        <f t="shared" si="13"/>
        <v>2329.3800000000006</v>
      </c>
      <c r="R182" s="11">
        <f t="shared" si="14"/>
        <v>9317.52</v>
      </c>
      <c r="S182" s="1" t="str">
        <f t="shared" si="15"/>
        <v>High</v>
      </c>
      <c r="T182" s="1" t="str">
        <f t="shared" si="16"/>
        <v>Medium</v>
      </c>
      <c r="U182" s="1" t="str">
        <f t="shared" si="17"/>
        <v>Medium</v>
      </c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12"/>
        <v>12172.36</v>
      </c>
      <c r="Q183" s="1">
        <f t="shared" si="13"/>
        <v>608.61800000000005</v>
      </c>
      <c r="R183" s="11">
        <f t="shared" si="14"/>
        <v>11563.742</v>
      </c>
      <c r="S183" s="1" t="str">
        <f t="shared" si="15"/>
        <v>Low</v>
      </c>
      <c r="T183" s="1" t="str">
        <f t="shared" si="16"/>
        <v>Low</v>
      </c>
      <c r="U183" s="1" t="str">
        <f t="shared" si="17"/>
        <v>Low</v>
      </c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12"/>
        <v>4606.4900000000007</v>
      </c>
      <c r="Q184" s="1">
        <f t="shared" si="13"/>
        <v>921.29800000000023</v>
      </c>
      <c r="R184" s="11">
        <f t="shared" si="14"/>
        <v>3685.1920000000005</v>
      </c>
      <c r="S184" s="1" t="str">
        <f t="shared" si="15"/>
        <v>High</v>
      </c>
      <c r="T184" s="1" t="str">
        <f t="shared" si="16"/>
        <v>High</v>
      </c>
      <c r="U184" s="1" t="str">
        <f t="shared" si="17"/>
        <v>High</v>
      </c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12"/>
        <v>10628.75</v>
      </c>
      <c r="Q185" s="1">
        <f t="shared" si="13"/>
        <v>1594.3125</v>
      </c>
      <c r="R185" s="11">
        <f t="shared" si="14"/>
        <v>9034.4375</v>
      </c>
      <c r="S185" s="1" t="str">
        <f t="shared" si="15"/>
        <v>High</v>
      </c>
      <c r="T185" s="1" t="str">
        <f t="shared" si="16"/>
        <v>Medium</v>
      </c>
      <c r="U185" s="1" t="str">
        <f t="shared" si="17"/>
        <v>Medium</v>
      </c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12"/>
        <v>6290.34</v>
      </c>
      <c r="Q186" s="1">
        <f t="shared" si="13"/>
        <v>0</v>
      </c>
      <c r="R186" s="11">
        <f t="shared" si="14"/>
        <v>6290.34</v>
      </c>
      <c r="S186" s="1" t="str">
        <f t="shared" si="15"/>
        <v>High</v>
      </c>
      <c r="T186" s="1" t="str">
        <f t="shared" si="16"/>
        <v>High</v>
      </c>
      <c r="U186" s="1" t="str">
        <f t="shared" si="17"/>
        <v>High</v>
      </c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12"/>
        <v>508.81</v>
      </c>
      <c r="Q187" s="1">
        <f t="shared" si="13"/>
        <v>0</v>
      </c>
      <c r="R187" s="11">
        <f t="shared" si="14"/>
        <v>508.81</v>
      </c>
      <c r="S187" s="1" t="str">
        <f t="shared" si="15"/>
        <v>Low</v>
      </c>
      <c r="T187" s="1" t="str">
        <f t="shared" si="16"/>
        <v>Low</v>
      </c>
      <c r="U187" s="1" t="str">
        <f t="shared" si="17"/>
        <v>Low</v>
      </c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12"/>
        <v>1730.41</v>
      </c>
      <c r="Q188" s="1">
        <f t="shared" si="13"/>
        <v>173.04100000000003</v>
      </c>
      <c r="R188" s="11">
        <f t="shared" si="14"/>
        <v>1557.3690000000001</v>
      </c>
      <c r="S188" s="1" t="str">
        <f t="shared" si="15"/>
        <v>Low</v>
      </c>
      <c r="T188" s="1" t="str">
        <f t="shared" si="16"/>
        <v>Low</v>
      </c>
      <c r="U188" s="1" t="str">
        <f t="shared" si="17"/>
        <v>Low</v>
      </c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12"/>
        <v>2336.5500000000002</v>
      </c>
      <c r="Q189" s="1">
        <f t="shared" si="13"/>
        <v>233.65500000000003</v>
      </c>
      <c r="R189" s="11">
        <f t="shared" si="14"/>
        <v>2102.895</v>
      </c>
      <c r="S189" s="1" t="str">
        <f t="shared" si="15"/>
        <v>Low</v>
      </c>
      <c r="T189" s="1" t="str">
        <f t="shared" si="16"/>
        <v>Low</v>
      </c>
      <c r="U189" s="1" t="str">
        <f t="shared" si="17"/>
        <v>Low</v>
      </c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12"/>
        <v>2007.72</v>
      </c>
      <c r="Q190" s="1">
        <f t="shared" si="13"/>
        <v>200.77200000000002</v>
      </c>
      <c r="R190" s="11">
        <f t="shared" si="14"/>
        <v>1806.9480000000001</v>
      </c>
      <c r="S190" s="1" t="str">
        <f t="shared" si="15"/>
        <v>Low</v>
      </c>
      <c r="T190" s="1" t="str">
        <f t="shared" si="16"/>
        <v>Low</v>
      </c>
      <c r="U190" s="1" t="str">
        <f t="shared" si="17"/>
        <v>Low</v>
      </c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12"/>
        <v>2745.18</v>
      </c>
      <c r="Q191" s="1">
        <f t="shared" si="13"/>
        <v>137.25899999999999</v>
      </c>
      <c r="R191" s="11">
        <f t="shared" si="14"/>
        <v>2607.9209999999998</v>
      </c>
      <c r="S191" s="1" t="str">
        <f t="shared" si="15"/>
        <v>Low</v>
      </c>
      <c r="T191" s="1" t="str">
        <f t="shared" si="16"/>
        <v>Low</v>
      </c>
      <c r="U191" s="1" t="str">
        <f t="shared" si="17"/>
        <v>Low</v>
      </c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12"/>
        <v>8040.5500000000011</v>
      </c>
      <c r="Q192" s="1">
        <f t="shared" si="13"/>
        <v>1206.0825000000002</v>
      </c>
      <c r="R192" s="11">
        <f t="shared" si="14"/>
        <v>6834.4675000000007</v>
      </c>
      <c r="S192" s="1" t="str">
        <f t="shared" si="15"/>
        <v>High</v>
      </c>
      <c r="T192" s="1" t="str">
        <f t="shared" si="16"/>
        <v>High</v>
      </c>
      <c r="U192" s="1" t="str">
        <f t="shared" si="17"/>
        <v>High</v>
      </c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12"/>
        <v>974.46</v>
      </c>
      <c r="Q193" s="1">
        <f t="shared" si="13"/>
        <v>146.16900000000001</v>
      </c>
      <c r="R193" s="11">
        <f t="shared" si="14"/>
        <v>828.29100000000005</v>
      </c>
      <c r="S193" s="1" t="str">
        <f t="shared" si="15"/>
        <v>Low</v>
      </c>
      <c r="T193" s="1" t="str">
        <f t="shared" si="16"/>
        <v>Low</v>
      </c>
      <c r="U193" s="1" t="str">
        <f t="shared" si="17"/>
        <v>Low</v>
      </c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12"/>
        <v>1984.72</v>
      </c>
      <c r="Q194" s="1">
        <f t="shared" si="13"/>
        <v>297.70799999999997</v>
      </c>
      <c r="R194" s="11">
        <f t="shared" si="14"/>
        <v>1687.0120000000002</v>
      </c>
      <c r="S194" s="1" t="str">
        <f t="shared" si="15"/>
        <v>Low</v>
      </c>
      <c r="T194" s="1" t="str">
        <f t="shared" si="16"/>
        <v>Low</v>
      </c>
      <c r="U194" s="1" t="str">
        <f t="shared" si="17"/>
        <v>Low</v>
      </c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18">L195*M195</f>
        <v>1788.02</v>
      </c>
      <c r="Q195" s="1">
        <f t="shared" ref="Q195:Q258" si="19">P195*N195%</f>
        <v>268.20299999999997</v>
      </c>
      <c r="R195" s="11">
        <f t="shared" ref="R195:R258" si="20">P195-Q195</f>
        <v>1519.817</v>
      </c>
      <c r="S195" s="1" t="str">
        <f t="shared" ref="S195:S258" si="21">IF(L195&gt;=5,"High","Low")</f>
        <v>Low</v>
      </c>
      <c r="T195" s="1" t="str">
        <f t="shared" ref="T195:T258" si="22">IF(L195&gt;5,"High",IF(L195=5,"Medium","Low"))</f>
        <v>Low</v>
      </c>
      <c r="U195" s="1" t="str">
        <f t="shared" ref="U195:U258" si="23">IF(L195&gt;5,"High",IF(L195=5,"Medium","Low"))</f>
        <v>Low</v>
      </c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18"/>
        <v>2067.8999999999996</v>
      </c>
      <c r="Q196" s="1">
        <f t="shared" si="19"/>
        <v>206.78999999999996</v>
      </c>
      <c r="R196" s="11">
        <f t="shared" si="20"/>
        <v>1861.1099999999997</v>
      </c>
      <c r="S196" s="1" t="str">
        <f t="shared" si="21"/>
        <v>High</v>
      </c>
      <c r="T196" s="1" t="str">
        <f t="shared" si="22"/>
        <v>High</v>
      </c>
      <c r="U196" s="1" t="str">
        <f t="shared" si="23"/>
        <v>High</v>
      </c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18"/>
        <v>20494.88</v>
      </c>
      <c r="Q197" s="1">
        <f t="shared" si="19"/>
        <v>0</v>
      </c>
      <c r="R197" s="11">
        <f t="shared" si="20"/>
        <v>20494.88</v>
      </c>
      <c r="S197" s="1" t="str">
        <f t="shared" si="21"/>
        <v>High</v>
      </c>
      <c r="T197" s="1" t="str">
        <f t="shared" si="22"/>
        <v>High</v>
      </c>
      <c r="U197" s="1" t="str">
        <f t="shared" si="23"/>
        <v>High</v>
      </c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18"/>
        <v>5024.84</v>
      </c>
      <c r="Q198" s="1">
        <f t="shared" si="19"/>
        <v>502.48400000000004</v>
      </c>
      <c r="R198" s="11">
        <f t="shared" si="20"/>
        <v>4522.3559999999998</v>
      </c>
      <c r="S198" s="1" t="str">
        <f t="shared" si="21"/>
        <v>Low</v>
      </c>
      <c r="T198" s="1" t="str">
        <f t="shared" si="22"/>
        <v>Low</v>
      </c>
      <c r="U198" s="1" t="str">
        <f t="shared" si="23"/>
        <v>Low</v>
      </c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18"/>
        <v>6135.1</v>
      </c>
      <c r="Q199" s="1">
        <f t="shared" si="19"/>
        <v>920.26499999999999</v>
      </c>
      <c r="R199" s="11">
        <f t="shared" si="20"/>
        <v>5214.835</v>
      </c>
      <c r="S199" s="1" t="str">
        <f t="shared" si="21"/>
        <v>High</v>
      </c>
      <c r="T199" s="1" t="str">
        <f t="shared" si="22"/>
        <v>Medium</v>
      </c>
      <c r="U199" s="1" t="str">
        <f t="shared" si="23"/>
        <v>Medium</v>
      </c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18"/>
        <v>5712.76</v>
      </c>
      <c r="Q200" s="1">
        <f t="shared" si="19"/>
        <v>571.27600000000007</v>
      </c>
      <c r="R200" s="11">
        <f t="shared" si="20"/>
        <v>5141.4840000000004</v>
      </c>
      <c r="S200" s="1" t="str">
        <f t="shared" si="21"/>
        <v>Low</v>
      </c>
      <c r="T200" s="1" t="str">
        <f t="shared" si="22"/>
        <v>Low</v>
      </c>
      <c r="U200" s="1" t="str">
        <f t="shared" si="23"/>
        <v>Low</v>
      </c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18"/>
        <v>8105.3099999999995</v>
      </c>
      <c r="Q201" s="1">
        <f t="shared" si="19"/>
        <v>1215.7964999999999</v>
      </c>
      <c r="R201" s="11">
        <f t="shared" si="20"/>
        <v>6889.5134999999991</v>
      </c>
      <c r="S201" s="1" t="str">
        <f t="shared" si="21"/>
        <v>Low</v>
      </c>
      <c r="T201" s="1" t="str">
        <f t="shared" si="22"/>
        <v>Low</v>
      </c>
      <c r="U201" s="1" t="str">
        <f t="shared" si="23"/>
        <v>Low</v>
      </c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18"/>
        <v>17509.7</v>
      </c>
      <c r="Q202" s="1">
        <f t="shared" si="19"/>
        <v>3501.9400000000005</v>
      </c>
      <c r="R202" s="11">
        <f t="shared" si="20"/>
        <v>14007.76</v>
      </c>
      <c r="S202" s="1" t="str">
        <f t="shared" si="21"/>
        <v>High</v>
      </c>
      <c r="T202" s="1" t="str">
        <f t="shared" si="22"/>
        <v>Medium</v>
      </c>
      <c r="U202" s="1" t="str">
        <f t="shared" si="23"/>
        <v>Medium</v>
      </c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18"/>
        <v>27652.32</v>
      </c>
      <c r="Q203" s="1">
        <f t="shared" si="19"/>
        <v>0</v>
      </c>
      <c r="R203" s="11">
        <f t="shared" si="20"/>
        <v>27652.32</v>
      </c>
      <c r="S203" s="1" t="str">
        <f t="shared" si="21"/>
        <v>High</v>
      </c>
      <c r="T203" s="1" t="str">
        <f t="shared" si="22"/>
        <v>High</v>
      </c>
      <c r="U203" s="1" t="str">
        <f t="shared" si="23"/>
        <v>High</v>
      </c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18"/>
        <v>23607.919999999998</v>
      </c>
      <c r="Q204" s="1">
        <f t="shared" si="19"/>
        <v>4721.5839999999998</v>
      </c>
      <c r="R204" s="11">
        <f t="shared" si="20"/>
        <v>18886.335999999999</v>
      </c>
      <c r="S204" s="1" t="str">
        <f t="shared" si="21"/>
        <v>High</v>
      </c>
      <c r="T204" s="1" t="str">
        <f t="shared" si="22"/>
        <v>High</v>
      </c>
      <c r="U204" s="1" t="str">
        <f t="shared" si="23"/>
        <v>High</v>
      </c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18"/>
        <v>16119.28</v>
      </c>
      <c r="Q205" s="1">
        <f t="shared" si="19"/>
        <v>805.96400000000006</v>
      </c>
      <c r="R205" s="11">
        <f t="shared" si="20"/>
        <v>15313.316000000001</v>
      </c>
      <c r="S205" s="1" t="str">
        <f t="shared" si="21"/>
        <v>High</v>
      </c>
      <c r="T205" s="1" t="str">
        <f t="shared" si="22"/>
        <v>High</v>
      </c>
      <c r="U205" s="1" t="str">
        <f t="shared" si="23"/>
        <v>High</v>
      </c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18"/>
        <v>22569.200000000001</v>
      </c>
      <c r="Q206" s="1">
        <f t="shared" si="19"/>
        <v>2256.92</v>
      </c>
      <c r="R206" s="11">
        <f t="shared" si="20"/>
        <v>20312.28</v>
      </c>
      <c r="S206" s="1" t="str">
        <f t="shared" si="21"/>
        <v>High</v>
      </c>
      <c r="T206" s="1" t="str">
        <f t="shared" si="22"/>
        <v>High</v>
      </c>
      <c r="U206" s="1" t="str">
        <f t="shared" si="23"/>
        <v>High</v>
      </c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18"/>
        <v>18225.12</v>
      </c>
      <c r="Q207" s="1">
        <f t="shared" si="19"/>
        <v>911.25599999999997</v>
      </c>
      <c r="R207" s="11">
        <f t="shared" si="20"/>
        <v>17313.863999999998</v>
      </c>
      <c r="S207" s="1" t="str">
        <f t="shared" si="21"/>
        <v>High</v>
      </c>
      <c r="T207" s="1" t="str">
        <f t="shared" si="22"/>
        <v>High</v>
      </c>
      <c r="U207" s="1" t="str">
        <f t="shared" si="23"/>
        <v>High</v>
      </c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18"/>
        <v>6877.92</v>
      </c>
      <c r="Q208" s="1">
        <f t="shared" si="19"/>
        <v>687.79200000000003</v>
      </c>
      <c r="R208" s="11">
        <f t="shared" si="20"/>
        <v>6190.1279999999997</v>
      </c>
      <c r="S208" s="1" t="str">
        <f t="shared" si="21"/>
        <v>High</v>
      </c>
      <c r="T208" s="1" t="str">
        <f t="shared" si="22"/>
        <v>High</v>
      </c>
      <c r="U208" s="1" t="str">
        <f t="shared" si="23"/>
        <v>High</v>
      </c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18"/>
        <v>7624.56</v>
      </c>
      <c r="Q209" s="1">
        <f t="shared" si="19"/>
        <v>1524.9120000000003</v>
      </c>
      <c r="R209" s="11">
        <f t="shared" si="20"/>
        <v>6099.6480000000001</v>
      </c>
      <c r="S209" s="1" t="str">
        <f t="shared" si="21"/>
        <v>High</v>
      </c>
      <c r="T209" s="1" t="str">
        <f t="shared" si="22"/>
        <v>High</v>
      </c>
      <c r="U209" s="1" t="str">
        <f t="shared" si="23"/>
        <v>High</v>
      </c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18"/>
        <v>10328.879999999999</v>
      </c>
      <c r="Q210" s="1">
        <f t="shared" si="19"/>
        <v>1549.3319999999999</v>
      </c>
      <c r="R210" s="11">
        <f t="shared" si="20"/>
        <v>8779.5479999999989</v>
      </c>
      <c r="S210" s="1" t="str">
        <f t="shared" si="21"/>
        <v>High</v>
      </c>
      <c r="T210" s="1" t="str">
        <f t="shared" si="22"/>
        <v>High</v>
      </c>
      <c r="U210" s="1" t="str">
        <f t="shared" si="23"/>
        <v>High</v>
      </c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18"/>
        <v>29252.720000000001</v>
      </c>
      <c r="Q211" s="1">
        <f t="shared" si="19"/>
        <v>4387.9080000000004</v>
      </c>
      <c r="R211" s="11">
        <f t="shared" si="20"/>
        <v>24864.812000000002</v>
      </c>
      <c r="S211" s="1" t="str">
        <f t="shared" si="21"/>
        <v>High</v>
      </c>
      <c r="T211" s="1" t="str">
        <f t="shared" si="22"/>
        <v>High</v>
      </c>
      <c r="U211" s="1" t="str">
        <f t="shared" si="23"/>
        <v>High</v>
      </c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18"/>
        <v>15802.850000000002</v>
      </c>
      <c r="Q212" s="1">
        <f t="shared" si="19"/>
        <v>1580.2850000000003</v>
      </c>
      <c r="R212" s="11">
        <f t="shared" si="20"/>
        <v>14222.565000000002</v>
      </c>
      <c r="S212" s="1" t="str">
        <f t="shared" si="21"/>
        <v>High</v>
      </c>
      <c r="T212" s="1" t="str">
        <f t="shared" si="22"/>
        <v>High</v>
      </c>
      <c r="U212" s="1" t="str">
        <f t="shared" si="23"/>
        <v>High</v>
      </c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18"/>
        <v>2975.54</v>
      </c>
      <c r="Q213" s="1">
        <f t="shared" si="19"/>
        <v>446.33099999999996</v>
      </c>
      <c r="R213" s="11">
        <f t="shared" si="20"/>
        <v>2529.2089999999998</v>
      </c>
      <c r="S213" s="1" t="str">
        <f t="shared" si="21"/>
        <v>Low</v>
      </c>
      <c r="T213" s="1" t="str">
        <f t="shared" si="22"/>
        <v>Low</v>
      </c>
      <c r="U213" s="1" t="str">
        <f t="shared" si="23"/>
        <v>Low</v>
      </c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18"/>
        <v>5937</v>
      </c>
      <c r="Q214" s="1">
        <f t="shared" si="19"/>
        <v>1187.4000000000001</v>
      </c>
      <c r="R214" s="11">
        <f t="shared" si="20"/>
        <v>4749.6000000000004</v>
      </c>
      <c r="S214" s="1" t="str">
        <f t="shared" si="21"/>
        <v>Low</v>
      </c>
      <c r="T214" s="1" t="str">
        <f t="shared" si="22"/>
        <v>Low</v>
      </c>
      <c r="U214" s="1" t="str">
        <f t="shared" si="23"/>
        <v>Low</v>
      </c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18"/>
        <v>6878.84</v>
      </c>
      <c r="Q215" s="1">
        <f t="shared" si="19"/>
        <v>1031.826</v>
      </c>
      <c r="R215" s="11">
        <f t="shared" si="20"/>
        <v>5847.0140000000001</v>
      </c>
      <c r="S215" s="1" t="str">
        <f t="shared" si="21"/>
        <v>Low</v>
      </c>
      <c r="T215" s="1" t="str">
        <f t="shared" si="22"/>
        <v>Low</v>
      </c>
      <c r="U215" s="1" t="str">
        <f t="shared" si="23"/>
        <v>Low</v>
      </c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18"/>
        <v>3167.1499999999996</v>
      </c>
      <c r="Q216" s="1">
        <f t="shared" si="19"/>
        <v>633.42999999999995</v>
      </c>
      <c r="R216" s="11">
        <f t="shared" si="20"/>
        <v>2533.7199999999998</v>
      </c>
      <c r="S216" s="1" t="str">
        <f t="shared" si="21"/>
        <v>High</v>
      </c>
      <c r="T216" s="1" t="str">
        <f t="shared" si="22"/>
        <v>Medium</v>
      </c>
      <c r="U216" s="1" t="str">
        <f t="shared" si="23"/>
        <v>Medium</v>
      </c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18"/>
        <v>4856.9400000000005</v>
      </c>
      <c r="Q217" s="1">
        <f t="shared" si="19"/>
        <v>242.84700000000004</v>
      </c>
      <c r="R217" s="11">
        <f t="shared" si="20"/>
        <v>4614.0930000000008</v>
      </c>
      <c r="S217" s="1" t="str">
        <f t="shared" si="21"/>
        <v>High</v>
      </c>
      <c r="T217" s="1" t="str">
        <f t="shared" si="22"/>
        <v>High</v>
      </c>
      <c r="U217" s="1" t="str">
        <f t="shared" si="23"/>
        <v>High</v>
      </c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18"/>
        <v>13341.28</v>
      </c>
      <c r="Q218" s="1">
        <f t="shared" si="19"/>
        <v>2668.2560000000003</v>
      </c>
      <c r="R218" s="11">
        <f t="shared" si="20"/>
        <v>10673.024000000001</v>
      </c>
      <c r="S218" s="1" t="str">
        <f t="shared" si="21"/>
        <v>Low</v>
      </c>
      <c r="T218" s="1" t="str">
        <f t="shared" si="22"/>
        <v>Low</v>
      </c>
      <c r="U218" s="1" t="str">
        <f t="shared" si="23"/>
        <v>Low</v>
      </c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18"/>
        <v>4803.26</v>
      </c>
      <c r="Q219" s="1">
        <f t="shared" si="19"/>
        <v>0</v>
      </c>
      <c r="R219" s="11">
        <f t="shared" si="20"/>
        <v>4803.26</v>
      </c>
      <c r="S219" s="1" t="str">
        <f t="shared" si="21"/>
        <v>Low</v>
      </c>
      <c r="T219" s="1" t="str">
        <f t="shared" si="22"/>
        <v>Low</v>
      </c>
      <c r="U219" s="1" t="str">
        <f t="shared" si="23"/>
        <v>Low</v>
      </c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18"/>
        <v>8697</v>
      </c>
      <c r="Q220" s="1">
        <f t="shared" si="19"/>
        <v>0</v>
      </c>
      <c r="R220" s="11">
        <f t="shared" si="20"/>
        <v>8697</v>
      </c>
      <c r="S220" s="1" t="str">
        <f t="shared" si="21"/>
        <v>High</v>
      </c>
      <c r="T220" s="1" t="str">
        <f t="shared" si="22"/>
        <v>High</v>
      </c>
      <c r="U220" s="1" t="str">
        <f t="shared" si="23"/>
        <v>High</v>
      </c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18"/>
        <v>25927.84</v>
      </c>
      <c r="Q221" s="1">
        <f t="shared" si="19"/>
        <v>0</v>
      </c>
      <c r="R221" s="11">
        <f t="shared" si="20"/>
        <v>25927.84</v>
      </c>
      <c r="S221" s="1" t="str">
        <f t="shared" si="21"/>
        <v>High</v>
      </c>
      <c r="T221" s="1" t="str">
        <f t="shared" si="22"/>
        <v>High</v>
      </c>
      <c r="U221" s="1" t="str">
        <f t="shared" si="23"/>
        <v>High</v>
      </c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18"/>
        <v>8792.7999999999993</v>
      </c>
      <c r="Q222" s="1">
        <f t="shared" si="19"/>
        <v>879.28</v>
      </c>
      <c r="R222" s="11">
        <f t="shared" si="20"/>
        <v>7913.5199999999995</v>
      </c>
      <c r="S222" s="1" t="str">
        <f t="shared" si="21"/>
        <v>High</v>
      </c>
      <c r="T222" s="1" t="str">
        <f t="shared" si="22"/>
        <v>High</v>
      </c>
      <c r="U222" s="1" t="str">
        <f t="shared" si="23"/>
        <v>High</v>
      </c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18"/>
        <v>27354.11</v>
      </c>
      <c r="Q223" s="1">
        <f t="shared" si="19"/>
        <v>2735.4110000000001</v>
      </c>
      <c r="R223" s="11">
        <f t="shared" si="20"/>
        <v>24618.699000000001</v>
      </c>
      <c r="S223" s="1" t="str">
        <f t="shared" si="21"/>
        <v>High</v>
      </c>
      <c r="T223" s="1" t="str">
        <f t="shared" si="22"/>
        <v>High</v>
      </c>
      <c r="U223" s="1" t="str">
        <f t="shared" si="23"/>
        <v>High</v>
      </c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18"/>
        <v>8865.2999999999993</v>
      </c>
      <c r="Q224" s="1">
        <f t="shared" si="19"/>
        <v>886.53</v>
      </c>
      <c r="R224" s="11">
        <f t="shared" si="20"/>
        <v>7978.7699999999995</v>
      </c>
      <c r="S224" s="1" t="str">
        <f t="shared" si="21"/>
        <v>High</v>
      </c>
      <c r="T224" s="1" t="str">
        <f t="shared" si="22"/>
        <v>High</v>
      </c>
      <c r="U224" s="1" t="str">
        <f t="shared" si="23"/>
        <v>High</v>
      </c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18"/>
        <v>2897.3</v>
      </c>
      <c r="Q225" s="1">
        <f t="shared" si="19"/>
        <v>579.46</v>
      </c>
      <c r="R225" s="11">
        <f t="shared" si="20"/>
        <v>2317.84</v>
      </c>
      <c r="S225" s="1" t="str">
        <f t="shared" si="21"/>
        <v>Low</v>
      </c>
      <c r="T225" s="1" t="str">
        <f t="shared" si="22"/>
        <v>Low</v>
      </c>
      <c r="U225" s="1" t="str">
        <f t="shared" si="23"/>
        <v>Low</v>
      </c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18"/>
        <v>9456.0199999999986</v>
      </c>
      <c r="Q226" s="1">
        <f t="shared" si="19"/>
        <v>945.60199999999986</v>
      </c>
      <c r="R226" s="11">
        <f t="shared" si="20"/>
        <v>8510.4179999999978</v>
      </c>
      <c r="S226" s="1" t="str">
        <f t="shared" si="21"/>
        <v>High</v>
      </c>
      <c r="T226" s="1" t="str">
        <f t="shared" si="22"/>
        <v>High</v>
      </c>
      <c r="U226" s="1" t="str">
        <f t="shared" si="23"/>
        <v>High</v>
      </c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18"/>
        <v>3100.65</v>
      </c>
      <c r="Q227" s="1">
        <f t="shared" si="19"/>
        <v>155.03250000000003</v>
      </c>
      <c r="R227" s="11">
        <f t="shared" si="20"/>
        <v>2945.6175000000003</v>
      </c>
      <c r="S227" s="1" t="str">
        <f t="shared" si="21"/>
        <v>High</v>
      </c>
      <c r="T227" s="1" t="str">
        <f t="shared" si="22"/>
        <v>Medium</v>
      </c>
      <c r="U227" s="1" t="str">
        <f t="shared" si="23"/>
        <v>Medium</v>
      </c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18"/>
        <v>3467.2799999999997</v>
      </c>
      <c r="Q228" s="1">
        <f t="shared" si="19"/>
        <v>0</v>
      </c>
      <c r="R228" s="11">
        <f t="shared" si="20"/>
        <v>3467.2799999999997</v>
      </c>
      <c r="S228" s="1" t="str">
        <f t="shared" si="21"/>
        <v>High</v>
      </c>
      <c r="T228" s="1" t="str">
        <f t="shared" si="22"/>
        <v>High</v>
      </c>
      <c r="U228" s="1" t="str">
        <f t="shared" si="23"/>
        <v>High</v>
      </c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18"/>
        <v>21161.599999999999</v>
      </c>
      <c r="Q229" s="1">
        <f t="shared" si="19"/>
        <v>4232.32</v>
      </c>
      <c r="R229" s="11">
        <f t="shared" si="20"/>
        <v>16929.28</v>
      </c>
      <c r="S229" s="1" t="str">
        <f t="shared" si="21"/>
        <v>High</v>
      </c>
      <c r="T229" s="1" t="str">
        <f t="shared" si="22"/>
        <v>High</v>
      </c>
      <c r="U229" s="1" t="str">
        <f t="shared" si="23"/>
        <v>High</v>
      </c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18"/>
        <v>28153.599999999999</v>
      </c>
      <c r="Q230" s="1">
        <f t="shared" si="19"/>
        <v>0</v>
      </c>
      <c r="R230" s="11">
        <f t="shared" si="20"/>
        <v>28153.599999999999</v>
      </c>
      <c r="S230" s="1" t="str">
        <f t="shared" si="21"/>
        <v>High</v>
      </c>
      <c r="T230" s="1" t="str">
        <f t="shared" si="22"/>
        <v>High</v>
      </c>
      <c r="U230" s="1" t="str">
        <f t="shared" si="23"/>
        <v>High</v>
      </c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18"/>
        <v>9580.5</v>
      </c>
      <c r="Q231" s="1">
        <f t="shared" si="19"/>
        <v>958.05000000000007</v>
      </c>
      <c r="R231" s="11">
        <f t="shared" si="20"/>
        <v>8622.4500000000007</v>
      </c>
      <c r="S231" s="1" t="str">
        <f t="shared" si="21"/>
        <v>Low</v>
      </c>
      <c r="T231" s="1" t="str">
        <f t="shared" si="22"/>
        <v>Low</v>
      </c>
      <c r="U231" s="1" t="str">
        <f t="shared" si="23"/>
        <v>Low</v>
      </c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18"/>
        <v>4852.82</v>
      </c>
      <c r="Q232" s="1">
        <f t="shared" si="19"/>
        <v>970.56399999999996</v>
      </c>
      <c r="R232" s="11">
        <f t="shared" si="20"/>
        <v>3882.2559999999999</v>
      </c>
      <c r="S232" s="1" t="str">
        <f t="shared" si="21"/>
        <v>High</v>
      </c>
      <c r="T232" s="1" t="str">
        <f t="shared" si="22"/>
        <v>High</v>
      </c>
      <c r="U232" s="1" t="str">
        <f t="shared" si="23"/>
        <v>High</v>
      </c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18"/>
        <v>2250.4899999999998</v>
      </c>
      <c r="Q233" s="1">
        <f t="shared" si="19"/>
        <v>337.57349999999997</v>
      </c>
      <c r="R233" s="11">
        <f t="shared" si="20"/>
        <v>1912.9164999999998</v>
      </c>
      <c r="S233" s="1" t="str">
        <f t="shared" si="21"/>
        <v>Low</v>
      </c>
      <c r="T233" s="1" t="str">
        <f t="shared" si="22"/>
        <v>Low</v>
      </c>
      <c r="U233" s="1" t="str">
        <f t="shared" si="23"/>
        <v>Low</v>
      </c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18"/>
        <v>556.53</v>
      </c>
      <c r="Q234" s="1">
        <f t="shared" si="19"/>
        <v>27.826499999999999</v>
      </c>
      <c r="R234" s="11">
        <f t="shared" si="20"/>
        <v>528.70349999999996</v>
      </c>
      <c r="S234" s="1" t="str">
        <f t="shared" si="21"/>
        <v>Low</v>
      </c>
      <c r="T234" s="1" t="str">
        <f t="shared" si="22"/>
        <v>Low</v>
      </c>
      <c r="U234" s="1" t="str">
        <f t="shared" si="23"/>
        <v>Low</v>
      </c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18"/>
        <v>2270.66</v>
      </c>
      <c r="Q235" s="1">
        <f t="shared" si="19"/>
        <v>227.066</v>
      </c>
      <c r="R235" s="11">
        <f t="shared" si="20"/>
        <v>2043.5939999999998</v>
      </c>
      <c r="S235" s="1" t="str">
        <f t="shared" si="21"/>
        <v>High</v>
      </c>
      <c r="T235" s="1" t="str">
        <f t="shared" si="22"/>
        <v>High</v>
      </c>
      <c r="U235" s="1" t="str">
        <f t="shared" si="23"/>
        <v>High</v>
      </c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18"/>
        <v>24093.81</v>
      </c>
      <c r="Q236" s="1">
        <f t="shared" si="19"/>
        <v>2409.3810000000003</v>
      </c>
      <c r="R236" s="11">
        <f t="shared" si="20"/>
        <v>21684.429</v>
      </c>
      <c r="S236" s="1" t="str">
        <f t="shared" si="21"/>
        <v>High</v>
      </c>
      <c r="T236" s="1" t="str">
        <f t="shared" si="22"/>
        <v>High</v>
      </c>
      <c r="U236" s="1" t="str">
        <f t="shared" si="23"/>
        <v>High</v>
      </c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18"/>
        <v>15472.380000000001</v>
      </c>
      <c r="Q237" s="1">
        <f t="shared" si="19"/>
        <v>773.61900000000014</v>
      </c>
      <c r="R237" s="11">
        <f t="shared" si="20"/>
        <v>14698.761</v>
      </c>
      <c r="S237" s="1" t="str">
        <f t="shared" si="21"/>
        <v>High</v>
      </c>
      <c r="T237" s="1" t="str">
        <f t="shared" si="22"/>
        <v>High</v>
      </c>
      <c r="U237" s="1" t="str">
        <f t="shared" si="23"/>
        <v>High</v>
      </c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18"/>
        <v>2328.9500000000003</v>
      </c>
      <c r="Q238" s="1">
        <f t="shared" si="19"/>
        <v>116.44750000000002</v>
      </c>
      <c r="R238" s="11">
        <f t="shared" si="20"/>
        <v>2212.5025000000001</v>
      </c>
      <c r="S238" s="1" t="str">
        <f t="shared" si="21"/>
        <v>High</v>
      </c>
      <c r="T238" s="1" t="str">
        <f t="shared" si="22"/>
        <v>Medium</v>
      </c>
      <c r="U238" s="1" t="str">
        <f t="shared" si="23"/>
        <v>Medium</v>
      </c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18"/>
        <v>2276.16</v>
      </c>
      <c r="Q239" s="1">
        <f t="shared" si="19"/>
        <v>341.42399999999998</v>
      </c>
      <c r="R239" s="11">
        <f t="shared" si="20"/>
        <v>1934.7359999999999</v>
      </c>
      <c r="S239" s="1" t="str">
        <f t="shared" si="21"/>
        <v>High</v>
      </c>
      <c r="T239" s="1" t="str">
        <f t="shared" si="22"/>
        <v>High</v>
      </c>
      <c r="U239" s="1" t="str">
        <f t="shared" si="23"/>
        <v>High</v>
      </c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18"/>
        <v>7921.12</v>
      </c>
      <c r="Q240" s="1">
        <f t="shared" si="19"/>
        <v>792.11200000000008</v>
      </c>
      <c r="R240" s="11">
        <f t="shared" si="20"/>
        <v>7129.0079999999998</v>
      </c>
      <c r="S240" s="1" t="str">
        <f t="shared" si="21"/>
        <v>Low</v>
      </c>
      <c r="T240" s="1" t="str">
        <f t="shared" si="22"/>
        <v>Low</v>
      </c>
      <c r="U240" s="1" t="str">
        <f t="shared" si="23"/>
        <v>Low</v>
      </c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18"/>
        <v>2390.2199999999998</v>
      </c>
      <c r="Q241" s="1">
        <f t="shared" si="19"/>
        <v>239.02199999999999</v>
      </c>
      <c r="R241" s="11">
        <f t="shared" si="20"/>
        <v>2151.1979999999999</v>
      </c>
      <c r="S241" s="1" t="str">
        <f t="shared" si="21"/>
        <v>High</v>
      </c>
      <c r="T241" s="1" t="str">
        <f t="shared" si="22"/>
        <v>High</v>
      </c>
      <c r="U241" s="1" t="str">
        <f t="shared" si="23"/>
        <v>High</v>
      </c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18"/>
        <v>11168.58</v>
      </c>
      <c r="Q242" s="1">
        <f t="shared" si="19"/>
        <v>0</v>
      </c>
      <c r="R242" s="11">
        <f t="shared" si="20"/>
        <v>11168.58</v>
      </c>
      <c r="S242" s="1" t="str">
        <f t="shared" si="21"/>
        <v>High</v>
      </c>
      <c r="T242" s="1" t="str">
        <f t="shared" si="22"/>
        <v>High</v>
      </c>
      <c r="U242" s="1" t="str">
        <f t="shared" si="23"/>
        <v>High</v>
      </c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18"/>
        <v>18835.02</v>
      </c>
      <c r="Q243" s="1">
        <f t="shared" si="19"/>
        <v>3767.0040000000004</v>
      </c>
      <c r="R243" s="11">
        <f t="shared" si="20"/>
        <v>15068.016</v>
      </c>
      <c r="S243" s="1" t="str">
        <f t="shared" si="21"/>
        <v>High</v>
      </c>
      <c r="T243" s="1" t="str">
        <f t="shared" si="22"/>
        <v>High</v>
      </c>
      <c r="U243" s="1" t="str">
        <f t="shared" si="23"/>
        <v>High</v>
      </c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18"/>
        <v>1203.06</v>
      </c>
      <c r="Q244" s="1">
        <f t="shared" si="19"/>
        <v>240.61199999999999</v>
      </c>
      <c r="R244" s="11">
        <f t="shared" si="20"/>
        <v>962.44799999999998</v>
      </c>
      <c r="S244" s="1" t="str">
        <f t="shared" si="21"/>
        <v>Low</v>
      </c>
      <c r="T244" s="1" t="str">
        <f t="shared" si="22"/>
        <v>Low</v>
      </c>
      <c r="U244" s="1" t="str">
        <f t="shared" si="23"/>
        <v>Low</v>
      </c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18"/>
        <v>2402.67</v>
      </c>
      <c r="Q245" s="1">
        <f t="shared" si="19"/>
        <v>0</v>
      </c>
      <c r="R245" s="11">
        <f t="shared" si="20"/>
        <v>2402.67</v>
      </c>
      <c r="S245" s="1" t="str">
        <f t="shared" si="21"/>
        <v>Low</v>
      </c>
      <c r="T245" s="1" t="str">
        <f t="shared" si="22"/>
        <v>Low</v>
      </c>
      <c r="U245" s="1" t="str">
        <f t="shared" si="23"/>
        <v>Low</v>
      </c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18"/>
        <v>12035.6</v>
      </c>
      <c r="Q246" s="1">
        <f t="shared" si="19"/>
        <v>2407.1200000000003</v>
      </c>
      <c r="R246" s="11">
        <f t="shared" si="20"/>
        <v>9628.48</v>
      </c>
      <c r="S246" s="1" t="str">
        <f t="shared" si="21"/>
        <v>High</v>
      </c>
      <c r="T246" s="1" t="str">
        <f t="shared" si="22"/>
        <v>High</v>
      </c>
      <c r="U246" s="1" t="str">
        <f t="shared" si="23"/>
        <v>High</v>
      </c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18"/>
        <v>3082.45</v>
      </c>
      <c r="Q247" s="1">
        <f t="shared" si="19"/>
        <v>154.1225</v>
      </c>
      <c r="R247" s="11">
        <f t="shared" si="20"/>
        <v>2928.3274999999999</v>
      </c>
      <c r="S247" s="1" t="str">
        <f t="shared" si="21"/>
        <v>Low</v>
      </c>
      <c r="T247" s="1" t="str">
        <f t="shared" si="22"/>
        <v>Low</v>
      </c>
      <c r="U247" s="1" t="str">
        <f t="shared" si="23"/>
        <v>Low</v>
      </c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18"/>
        <v>14715.89</v>
      </c>
      <c r="Q248" s="1">
        <f t="shared" si="19"/>
        <v>2943.1779999999999</v>
      </c>
      <c r="R248" s="11">
        <f t="shared" si="20"/>
        <v>11772.712</v>
      </c>
      <c r="S248" s="1" t="str">
        <f t="shared" si="21"/>
        <v>High</v>
      </c>
      <c r="T248" s="1" t="str">
        <f t="shared" si="22"/>
        <v>High</v>
      </c>
      <c r="U248" s="1" t="str">
        <f t="shared" si="23"/>
        <v>High</v>
      </c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18"/>
        <v>18241.440000000002</v>
      </c>
      <c r="Q249" s="1">
        <f t="shared" si="19"/>
        <v>3648.2880000000005</v>
      </c>
      <c r="R249" s="11">
        <f t="shared" si="20"/>
        <v>14593.152000000002</v>
      </c>
      <c r="S249" s="1" t="str">
        <f t="shared" si="21"/>
        <v>High</v>
      </c>
      <c r="T249" s="1" t="str">
        <f t="shared" si="22"/>
        <v>High</v>
      </c>
      <c r="U249" s="1" t="str">
        <f t="shared" si="23"/>
        <v>High</v>
      </c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18"/>
        <v>3942.92</v>
      </c>
      <c r="Q250" s="1">
        <f t="shared" si="19"/>
        <v>0</v>
      </c>
      <c r="R250" s="11">
        <f t="shared" si="20"/>
        <v>3942.92</v>
      </c>
      <c r="S250" s="1" t="str">
        <f t="shared" si="21"/>
        <v>Low</v>
      </c>
      <c r="T250" s="1" t="str">
        <f t="shared" si="22"/>
        <v>Low</v>
      </c>
      <c r="U250" s="1" t="str">
        <f t="shared" si="23"/>
        <v>Low</v>
      </c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18"/>
        <v>27961.38</v>
      </c>
      <c r="Q251" s="1">
        <f t="shared" si="19"/>
        <v>4194.2070000000003</v>
      </c>
      <c r="R251" s="11">
        <f t="shared" si="20"/>
        <v>23767.173000000003</v>
      </c>
      <c r="S251" s="1" t="str">
        <f t="shared" si="21"/>
        <v>High</v>
      </c>
      <c r="T251" s="1" t="str">
        <f t="shared" si="22"/>
        <v>High</v>
      </c>
      <c r="U251" s="1" t="str">
        <f t="shared" si="23"/>
        <v>High</v>
      </c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18"/>
        <v>14578.32</v>
      </c>
      <c r="Q252" s="1">
        <f t="shared" si="19"/>
        <v>2915.6640000000002</v>
      </c>
      <c r="R252" s="11">
        <f t="shared" si="20"/>
        <v>11662.655999999999</v>
      </c>
      <c r="S252" s="1" t="str">
        <f t="shared" si="21"/>
        <v>High</v>
      </c>
      <c r="T252" s="1" t="str">
        <f t="shared" si="22"/>
        <v>High</v>
      </c>
      <c r="U252" s="1" t="str">
        <f t="shared" si="23"/>
        <v>High</v>
      </c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18"/>
        <v>7475.2</v>
      </c>
      <c r="Q253" s="1">
        <f t="shared" si="19"/>
        <v>1495.04</v>
      </c>
      <c r="R253" s="11">
        <f t="shared" si="20"/>
        <v>5980.16</v>
      </c>
      <c r="S253" s="1" t="str">
        <f t="shared" si="21"/>
        <v>Low</v>
      </c>
      <c r="T253" s="1" t="str">
        <f t="shared" si="22"/>
        <v>Low</v>
      </c>
      <c r="U253" s="1" t="str">
        <f t="shared" si="23"/>
        <v>Low</v>
      </c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18"/>
        <v>12661.35</v>
      </c>
      <c r="Q254" s="1">
        <f t="shared" si="19"/>
        <v>1899.2024999999999</v>
      </c>
      <c r="R254" s="11">
        <f t="shared" si="20"/>
        <v>10762.147500000001</v>
      </c>
      <c r="S254" s="1" t="str">
        <f t="shared" si="21"/>
        <v>High</v>
      </c>
      <c r="T254" s="1" t="str">
        <f t="shared" si="22"/>
        <v>Medium</v>
      </c>
      <c r="U254" s="1" t="str">
        <f t="shared" si="23"/>
        <v>Medium</v>
      </c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18"/>
        <v>5423.32</v>
      </c>
      <c r="Q255" s="1">
        <f t="shared" si="19"/>
        <v>0</v>
      </c>
      <c r="R255" s="11">
        <f t="shared" si="20"/>
        <v>5423.32</v>
      </c>
      <c r="S255" s="1" t="str">
        <f t="shared" si="21"/>
        <v>Low</v>
      </c>
      <c r="T255" s="1" t="str">
        <f t="shared" si="22"/>
        <v>Low</v>
      </c>
      <c r="U255" s="1" t="str">
        <f t="shared" si="23"/>
        <v>Low</v>
      </c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18"/>
        <v>18699.659999999996</v>
      </c>
      <c r="Q256" s="1">
        <f t="shared" si="19"/>
        <v>2804.9489999999992</v>
      </c>
      <c r="R256" s="11">
        <f t="shared" si="20"/>
        <v>15894.710999999998</v>
      </c>
      <c r="S256" s="1" t="str">
        <f t="shared" si="21"/>
        <v>High</v>
      </c>
      <c r="T256" s="1" t="str">
        <f t="shared" si="22"/>
        <v>High</v>
      </c>
      <c r="U256" s="1" t="str">
        <f t="shared" si="23"/>
        <v>High</v>
      </c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18"/>
        <v>15796.32</v>
      </c>
      <c r="Q257" s="1">
        <f t="shared" si="19"/>
        <v>0</v>
      </c>
      <c r="R257" s="11">
        <f t="shared" si="20"/>
        <v>15796.32</v>
      </c>
      <c r="S257" s="1" t="str">
        <f t="shared" si="21"/>
        <v>High</v>
      </c>
      <c r="T257" s="1" t="str">
        <f t="shared" si="22"/>
        <v>High</v>
      </c>
      <c r="U257" s="1" t="str">
        <f t="shared" si="23"/>
        <v>High</v>
      </c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18"/>
        <v>721.8</v>
      </c>
      <c r="Q258" s="1">
        <f t="shared" si="19"/>
        <v>36.089999999999996</v>
      </c>
      <c r="R258" s="11">
        <f t="shared" si="20"/>
        <v>685.70999999999992</v>
      </c>
      <c r="S258" s="1" t="str">
        <f t="shared" si="21"/>
        <v>Low</v>
      </c>
      <c r="T258" s="1" t="str">
        <f t="shared" si="22"/>
        <v>Low</v>
      </c>
      <c r="U258" s="1" t="str">
        <f t="shared" si="23"/>
        <v>Low</v>
      </c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24">L259*M259</f>
        <v>12628.35</v>
      </c>
      <c r="Q259" s="1">
        <f t="shared" ref="Q259:Q322" si="25">P259*N259%</f>
        <v>0</v>
      </c>
      <c r="R259" s="11">
        <f t="shared" ref="R259:R322" si="26">P259-Q259</f>
        <v>12628.35</v>
      </c>
      <c r="S259" s="1" t="str">
        <f t="shared" ref="S259:S322" si="27">IF(L259&gt;=5,"High","Low")</f>
        <v>High</v>
      </c>
      <c r="T259" s="1" t="str">
        <f t="shared" ref="T259:T322" si="28">IF(L259&gt;5,"High",IF(L259=5,"Medium","Low"))</f>
        <v>High</v>
      </c>
      <c r="U259" s="1" t="str">
        <f t="shared" ref="U259:U322" si="29">IF(L259&gt;5,"High",IF(L259=5,"Medium","Low"))</f>
        <v>High</v>
      </c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24"/>
        <v>11015.19</v>
      </c>
      <c r="Q260" s="1">
        <f t="shared" si="25"/>
        <v>550.7595</v>
      </c>
      <c r="R260" s="11">
        <f t="shared" si="26"/>
        <v>10464.4305</v>
      </c>
      <c r="S260" s="1" t="str">
        <f t="shared" si="27"/>
        <v>High</v>
      </c>
      <c r="T260" s="1" t="str">
        <f t="shared" si="28"/>
        <v>High</v>
      </c>
      <c r="U260" s="1" t="str">
        <f t="shared" si="29"/>
        <v>High</v>
      </c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24"/>
        <v>1941.96</v>
      </c>
      <c r="Q261" s="1">
        <f t="shared" si="25"/>
        <v>97.098000000000013</v>
      </c>
      <c r="R261" s="11">
        <f t="shared" si="26"/>
        <v>1844.8620000000001</v>
      </c>
      <c r="S261" s="1" t="str">
        <f t="shared" si="27"/>
        <v>Low</v>
      </c>
      <c r="T261" s="1" t="str">
        <f t="shared" si="28"/>
        <v>Low</v>
      </c>
      <c r="U261" s="1" t="str">
        <f t="shared" si="29"/>
        <v>Low</v>
      </c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24"/>
        <v>1066.5</v>
      </c>
      <c r="Q262" s="1">
        <f t="shared" si="25"/>
        <v>0</v>
      </c>
      <c r="R262" s="11">
        <f t="shared" si="26"/>
        <v>1066.5</v>
      </c>
      <c r="S262" s="1" t="str">
        <f t="shared" si="27"/>
        <v>Low</v>
      </c>
      <c r="T262" s="1" t="str">
        <f t="shared" si="28"/>
        <v>Low</v>
      </c>
      <c r="U262" s="1" t="str">
        <f t="shared" si="29"/>
        <v>Low</v>
      </c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24"/>
        <v>17306.03</v>
      </c>
      <c r="Q263" s="1">
        <f t="shared" si="25"/>
        <v>1730.6030000000001</v>
      </c>
      <c r="R263" s="11">
        <f t="shared" si="26"/>
        <v>15575.427</v>
      </c>
      <c r="S263" s="1" t="str">
        <f t="shared" si="27"/>
        <v>High</v>
      </c>
      <c r="T263" s="1" t="str">
        <f t="shared" si="28"/>
        <v>High</v>
      </c>
      <c r="U263" s="1" t="str">
        <f t="shared" si="29"/>
        <v>High</v>
      </c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24"/>
        <v>15161.02</v>
      </c>
      <c r="Q264" s="1">
        <f t="shared" si="25"/>
        <v>0</v>
      </c>
      <c r="R264" s="11">
        <f t="shared" si="26"/>
        <v>15161.02</v>
      </c>
      <c r="S264" s="1" t="str">
        <f t="shared" si="27"/>
        <v>High</v>
      </c>
      <c r="T264" s="1" t="str">
        <f t="shared" si="28"/>
        <v>High</v>
      </c>
      <c r="U264" s="1" t="str">
        <f t="shared" si="29"/>
        <v>High</v>
      </c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24"/>
        <v>4505.2</v>
      </c>
      <c r="Q265" s="1">
        <f t="shared" si="25"/>
        <v>901.04</v>
      </c>
      <c r="R265" s="11">
        <f t="shared" si="26"/>
        <v>3604.16</v>
      </c>
      <c r="S265" s="1" t="str">
        <f t="shared" si="27"/>
        <v>Low</v>
      </c>
      <c r="T265" s="1" t="str">
        <f t="shared" si="28"/>
        <v>Low</v>
      </c>
      <c r="U265" s="1" t="str">
        <f t="shared" si="29"/>
        <v>Low</v>
      </c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24"/>
        <v>17668.440000000002</v>
      </c>
      <c r="Q266" s="1">
        <f t="shared" si="25"/>
        <v>3533.6880000000006</v>
      </c>
      <c r="R266" s="11">
        <f t="shared" si="26"/>
        <v>14134.752000000002</v>
      </c>
      <c r="S266" s="1" t="str">
        <f t="shared" si="27"/>
        <v>High</v>
      </c>
      <c r="T266" s="1" t="str">
        <f t="shared" si="28"/>
        <v>High</v>
      </c>
      <c r="U266" s="1" t="str">
        <f t="shared" si="29"/>
        <v>High</v>
      </c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24"/>
        <v>16360.72</v>
      </c>
      <c r="Q267" s="1">
        <f t="shared" si="25"/>
        <v>1636.0720000000001</v>
      </c>
      <c r="R267" s="11">
        <f t="shared" si="26"/>
        <v>14724.647999999999</v>
      </c>
      <c r="S267" s="1" t="str">
        <f t="shared" si="27"/>
        <v>High</v>
      </c>
      <c r="T267" s="1" t="str">
        <f t="shared" si="28"/>
        <v>High</v>
      </c>
      <c r="U267" s="1" t="str">
        <f t="shared" si="29"/>
        <v>High</v>
      </c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24"/>
        <v>900.78</v>
      </c>
      <c r="Q268" s="1">
        <f t="shared" si="25"/>
        <v>45.039000000000001</v>
      </c>
      <c r="R268" s="11">
        <f t="shared" si="26"/>
        <v>855.74099999999999</v>
      </c>
      <c r="S268" s="1" t="str">
        <f t="shared" si="27"/>
        <v>Low</v>
      </c>
      <c r="T268" s="1" t="str">
        <f t="shared" si="28"/>
        <v>Low</v>
      </c>
      <c r="U268" s="1" t="str">
        <f t="shared" si="29"/>
        <v>Low</v>
      </c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24"/>
        <v>2660.56</v>
      </c>
      <c r="Q269" s="1">
        <f t="shared" si="25"/>
        <v>266.05599999999998</v>
      </c>
      <c r="R269" s="11">
        <f t="shared" si="26"/>
        <v>2394.5039999999999</v>
      </c>
      <c r="S269" s="1" t="str">
        <f t="shared" si="27"/>
        <v>Low</v>
      </c>
      <c r="T269" s="1" t="str">
        <f t="shared" si="28"/>
        <v>Low</v>
      </c>
      <c r="U269" s="1" t="str">
        <f t="shared" si="29"/>
        <v>Low</v>
      </c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24"/>
        <v>15782.7</v>
      </c>
      <c r="Q270" s="1">
        <f t="shared" si="25"/>
        <v>3156.5400000000004</v>
      </c>
      <c r="R270" s="11">
        <f t="shared" si="26"/>
        <v>12626.16</v>
      </c>
      <c r="S270" s="1" t="str">
        <f t="shared" si="27"/>
        <v>High</v>
      </c>
      <c r="T270" s="1" t="str">
        <f t="shared" si="28"/>
        <v>Medium</v>
      </c>
      <c r="U270" s="1" t="str">
        <f t="shared" si="29"/>
        <v>Medium</v>
      </c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24"/>
        <v>19182.78</v>
      </c>
      <c r="Q271" s="1">
        <f t="shared" si="25"/>
        <v>1918.278</v>
      </c>
      <c r="R271" s="11">
        <f t="shared" si="26"/>
        <v>17264.502</v>
      </c>
      <c r="S271" s="1" t="str">
        <f t="shared" si="27"/>
        <v>High</v>
      </c>
      <c r="T271" s="1" t="str">
        <f t="shared" si="28"/>
        <v>High</v>
      </c>
      <c r="U271" s="1" t="str">
        <f t="shared" si="29"/>
        <v>High</v>
      </c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24"/>
        <v>7408.5300000000007</v>
      </c>
      <c r="Q272" s="1">
        <f t="shared" si="25"/>
        <v>0</v>
      </c>
      <c r="R272" s="11">
        <f t="shared" si="26"/>
        <v>7408.5300000000007</v>
      </c>
      <c r="S272" s="1" t="str">
        <f t="shared" si="27"/>
        <v>Low</v>
      </c>
      <c r="T272" s="1" t="str">
        <f t="shared" si="28"/>
        <v>Low</v>
      </c>
      <c r="U272" s="1" t="str">
        <f t="shared" si="29"/>
        <v>Low</v>
      </c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24"/>
        <v>19078.29</v>
      </c>
      <c r="Q273" s="1">
        <f t="shared" si="25"/>
        <v>1907.8290000000002</v>
      </c>
      <c r="R273" s="11">
        <f t="shared" si="26"/>
        <v>17170.460999999999</v>
      </c>
      <c r="S273" s="1" t="str">
        <f t="shared" si="27"/>
        <v>High</v>
      </c>
      <c r="T273" s="1" t="str">
        <f t="shared" si="28"/>
        <v>High</v>
      </c>
      <c r="U273" s="1" t="str">
        <f t="shared" si="29"/>
        <v>High</v>
      </c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24"/>
        <v>2309.2799999999997</v>
      </c>
      <c r="Q274" s="1">
        <f t="shared" si="25"/>
        <v>115.464</v>
      </c>
      <c r="R274" s="11">
        <f t="shared" si="26"/>
        <v>2193.8159999999998</v>
      </c>
      <c r="S274" s="1" t="str">
        <f t="shared" si="27"/>
        <v>High</v>
      </c>
      <c r="T274" s="1" t="str">
        <f t="shared" si="28"/>
        <v>High</v>
      </c>
      <c r="U274" s="1" t="str">
        <f t="shared" si="29"/>
        <v>High</v>
      </c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24"/>
        <v>5032.6000000000004</v>
      </c>
      <c r="Q275" s="1">
        <f t="shared" si="25"/>
        <v>0</v>
      </c>
      <c r="R275" s="11">
        <f t="shared" si="26"/>
        <v>5032.6000000000004</v>
      </c>
      <c r="S275" s="1" t="str">
        <f t="shared" si="27"/>
        <v>Low</v>
      </c>
      <c r="T275" s="1" t="str">
        <f t="shared" si="28"/>
        <v>Low</v>
      </c>
      <c r="U275" s="1" t="str">
        <f t="shared" si="29"/>
        <v>Low</v>
      </c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24"/>
        <v>3563.7000000000003</v>
      </c>
      <c r="Q276" s="1">
        <f t="shared" si="25"/>
        <v>534.55500000000006</v>
      </c>
      <c r="R276" s="11">
        <f t="shared" si="26"/>
        <v>3029.1450000000004</v>
      </c>
      <c r="S276" s="1" t="str">
        <f t="shared" si="27"/>
        <v>High</v>
      </c>
      <c r="T276" s="1" t="str">
        <f t="shared" si="28"/>
        <v>High</v>
      </c>
      <c r="U276" s="1" t="str">
        <f t="shared" si="29"/>
        <v>High</v>
      </c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24"/>
        <v>30885.759999999998</v>
      </c>
      <c r="Q277" s="1">
        <f t="shared" si="25"/>
        <v>6177.152</v>
      </c>
      <c r="R277" s="11">
        <f t="shared" si="26"/>
        <v>24708.608</v>
      </c>
      <c r="S277" s="1" t="str">
        <f t="shared" si="27"/>
        <v>High</v>
      </c>
      <c r="T277" s="1" t="str">
        <f t="shared" si="28"/>
        <v>High</v>
      </c>
      <c r="U277" s="1" t="str">
        <f t="shared" si="29"/>
        <v>High</v>
      </c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24"/>
        <v>6030.5399999999991</v>
      </c>
      <c r="Q278" s="1">
        <f t="shared" si="25"/>
        <v>1206.1079999999999</v>
      </c>
      <c r="R278" s="11">
        <f t="shared" si="26"/>
        <v>4824.4319999999989</v>
      </c>
      <c r="S278" s="1" t="str">
        <f t="shared" si="27"/>
        <v>High</v>
      </c>
      <c r="T278" s="1" t="str">
        <f t="shared" si="28"/>
        <v>High</v>
      </c>
      <c r="U278" s="1" t="str">
        <f t="shared" si="29"/>
        <v>High</v>
      </c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24"/>
        <v>4406.04</v>
      </c>
      <c r="Q279" s="1">
        <f t="shared" si="25"/>
        <v>440.60400000000004</v>
      </c>
      <c r="R279" s="11">
        <f t="shared" si="26"/>
        <v>3965.4359999999997</v>
      </c>
      <c r="S279" s="1" t="str">
        <f t="shared" si="27"/>
        <v>High</v>
      </c>
      <c r="T279" s="1" t="str">
        <f t="shared" si="28"/>
        <v>High</v>
      </c>
      <c r="U279" s="1" t="str">
        <f t="shared" si="29"/>
        <v>High</v>
      </c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24"/>
        <v>21449.22</v>
      </c>
      <c r="Q280" s="1">
        <f t="shared" si="25"/>
        <v>0</v>
      </c>
      <c r="R280" s="11">
        <f t="shared" si="26"/>
        <v>21449.22</v>
      </c>
      <c r="S280" s="1" t="str">
        <f t="shared" si="27"/>
        <v>High</v>
      </c>
      <c r="T280" s="1" t="str">
        <f t="shared" si="28"/>
        <v>High</v>
      </c>
      <c r="U280" s="1" t="str">
        <f t="shared" si="29"/>
        <v>High</v>
      </c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24"/>
        <v>30272.959999999999</v>
      </c>
      <c r="Q281" s="1">
        <f t="shared" si="25"/>
        <v>4540.9439999999995</v>
      </c>
      <c r="R281" s="11">
        <f t="shared" si="26"/>
        <v>25732.016</v>
      </c>
      <c r="S281" s="1" t="str">
        <f t="shared" si="27"/>
        <v>High</v>
      </c>
      <c r="T281" s="1" t="str">
        <f t="shared" si="28"/>
        <v>High</v>
      </c>
      <c r="U281" s="1" t="str">
        <f t="shared" si="29"/>
        <v>High</v>
      </c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24"/>
        <v>15492.2</v>
      </c>
      <c r="Q282" s="1">
        <f t="shared" si="25"/>
        <v>0</v>
      </c>
      <c r="R282" s="11">
        <f t="shared" si="26"/>
        <v>15492.2</v>
      </c>
      <c r="S282" s="1" t="str">
        <f t="shared" si="27"/>
        <v>High</v>
      </c>
      <c r="T282" s="1" t="str">
        <f t="shared" si="28"/>
        <v>Medium</v>
      </c>
      <c r="U282" s="1" t="str">
        <f t="shared" si="29"/>
        <v>Medium</v>
      </c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24"/>
        <v>512.43000000000006</v>
      </c>
      <c r="Q283" s="1">
        <f t="shared" si="25"/>
        <v>102.48600000000002</v>
      </c>
      <c r="R283" s="11">
        <f t="shared" si="26"/>
        <v>409.94400000000007</v>
      </c>
      <c r="S283" s="1" t="str">
        <f t="shared" si="27"/>
        <v>Low</v>
      </c>
      <c r="T283" s="1" t="str">
        <f t="shared" si="28"/>
        <v>Low</v>
      </c>
      <c r="U283" s="1" t="str">
        <f t="shared" si="29"/>
        <v>Low</v>
      </c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24"/>
        <v>465.54</v>
      </c>
      <c r="Q284" s="1">
        <f t="shared" si="25"/>
        <v>0</v>
      </c>
      <c r="R284" s="11">
        <f t="shared" si="26"/>
        <v>465.54</v>
      </c>
      <c r="S284" s="1" t="str">
        <f t="shared" si="27"/>
        <v>Low</v>
      </c>
      <c r="T284" s="1" t="str">
        <f t="shared" si="28"/>
        <v>Low</v>
      </c>
      <c r="U284" s="1" t="str">
        <f t="shared" si="29"/>
        <v>Low</v>
      </c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24"/>
        <v>9634.14</v>
      </c>
      <c r="Q285" s="1">
        <f t="shared" si="25"/>
        <v>1445.1209999999999</v>
      </c>
      <c r="R285" s="11">
        <f t="shared" si="26"/>
        <v>8189.0189999999993</v>
      </c>
      <c r="S285" s="1" t="str">
        <f t="shared" si="27"/>
        <v>High</v>
      </c>
      <c r="T285" s="1" t="str">
        <f t="shared" si="28"/>
        <v>High</v>
      </c>
      <c r="U285" s="1" t="str">
        <f t="shared" si="29"/>
        <v>High</v>
      </c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24"/>
        <v>1404.14</v>
      </c>
      <c r="Q286" s="1">
        <f t="shared" si="25"/>
        <v>140.41400000000002</v>
      </c>
      <c r="R286" s="11">
        <f t="shared" si="26"/>
        <v>1263.7260000000001</v>
      </c>
      <c r="S286" s="1" t="str">
        <f t="shared" si="27"/>
        <v>Low</v>
      </c>
      <c r="T286" s="1" t="str">
        <f t="shared" si="28"/>
        <v>Low</v>
      </c>
      <c r="U286" s="1" t="str">
        <f t="shared" si="29"/>
        <v>Low</v>
      </c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24"/>
        <v>1324.74</v>
      </c>
      <c r="Q287" s="1">
        <f t="shared" si="25"/>
        <v>66.237000000000009</v>
      </c>
      <c r="R287" s="11">
        <f t="shared" si="26"/>
        <v>1258.5029999999999</v>
      </c>
      <c r="S287" s="1" t="str">
        <f t="shared" si="27"/>
        <v>High</v>
      </c>
      <c r="T287" s="1" t="str">
        <f t="shared" si="28"/>
        <v>High</v>
      </c>
      <c r="U287" s="1" t="str">
        <f t="shared" si="29"/>
        <v>High</v>
      </c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24"/>
        <v>11619.960000000001</v>
      </c>
      <c r="Q288" s="1">
        <f t="shared" si="25"/>
        <v>0</v>
      </c>
      <c r="R288" s="11">
        <f t="shared" si="26"/>
        <v>11619.960000000001</v>
      </c>
      <c r="S288" s="1" t="str">
        <f t="shared" si="27"/>
        <v>High</v>
      </c>
      <c r="T288" s="1" t="str">
        <f t="shared" si="28"/>
        <v>High</v>
      </c>
      <c r="U288" s="1" t="str">
        <f t="shared" si="29"/>
        <v>High</v>
      </c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24"/>
        <v>30246.32</v>
      </c>
      <c r="Q289" s="1">
        <f t="shared" si="25"/>
        <v>1512.316</v>
      </c>
      <c r="R289" s="11">
        <f t="shared" si="26"/>
        <v>28734.004000000001</v>
      </c>
      <c r="S289" s="1" t="str">
        <f t="shared" si="27"/>
        <v>High</v>
      </c>
      <c r="T289" s="1" t="str">
        <f t="shared" si="28"/>
        <v>High</v>
      </c>
      <c r="U289" s="1" t="str">
        <f t="shared" si="29"/>
        <v>High</v>
      </c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24"/>
        <v>9776.9700000000012</v>
      </c>
      <c r="Q290" s="1">
        <f t="shared" si="25"/>
        <v>1955.3940000000002</v>
      </c>
      <c r="R290" s="11">
        <f t="shared" si="26"/>
        <v>7821.5760000000009</v>
      </c>
      <c r="S290" s="1" t="str">
        <f t="shared" si="27"/>
        <v>High</v>
      </c>
      <c r="T290" s="1" t="str">
        <f t="shared" si="28"/>
        <v>High</v>
      </c>
      <c r="U290" s="1" t="str">
        <f t="shared" si="29"/>
        <v>High</v>
      </c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24"/>
        <v>21563.119999999999</v>
      </c>
      <c r="Q291" s="1">
        <f t="shared" si="25"/>
        <v>2156.3119999999999</v>
      </c>
      <c r="R291" s="11">
        <f t="shared" si="26"/>
        <v>19406.807999999997</v>
      </c>
      <c r="S291" s="1" t="str">
        <f t="shared" si="27"/>
        <v>High</v>
      </c>
      <c r="T291" s="1" t="str">
        <f t="shared" si="28"/>
        <v>High</v>
      </c>
      <c r="U291" s="1" t="str">
        <f t="shared" si="29"/>
        <v>High</v>
      </c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24"/>
        <v>23949.99</v>
      </c>
      <c r="Q292" s="1">
        <f t="shared" si="25"/>
        <v>2394.9990000000003</v>
      </c>
      <c r="R292" s="11">
        <f t="shared" si="26"/>
        <v>21554.991000000002</v>
      </c>
      <c r="S292" s="1" t="str">
        <f t="shared" si="27"/>
        <v>High</v>
      </c>
      <c r="T292" s="1" t="str">
        <f t="shared" si="28"/>
        <v>High</v>
      </c>
      <c r="U292" s="1" t="str">
        <f t="shared" si="29"/>
        <v>High</v>
      </c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24"/>
        <v>6699.9600000000009</v>
      </c>
      <c r="Q293" s="1">
        <f t="shared" si="25"/>
        <v>0</v>
      </c>
      <c r="R293" s="11">
        <f t="shared" si="26"/>
        <v>6699.9600000000009</v>
      </c>
      <c r="S293" s="1" t="str">
        <f t="shared" si="27"/>
        <v>High</v>
      </c>
      <c r="T293" s="1" t="str">
        <f t="shared" si="28"/>
        <v>High</v>
      </c>
      <c r="U293" s="1" t="str">
        <f t="shared" si="29"/>
        <v>High</v>
      </c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24"/>
        <v>7962.42</v>
      </c>
      <c r="Q294" s="1">
        <f t="shared" si="25"/>
        <v>796.24200000000008</v>
      </c>
      <c r="R294" s="11">
        <f t="shared" si="26"/>
        <v>7166.1779999999999</v>
      </c>
      <c r="S294" s="1" t="str">
        <f t="shared" si="27"/>
        <v>Low</v>
      </c>
      <c r="T294" s="1" t="str">
        <f t="shared" si="28"/>
        <v>Low</v>
      </c>
      <c r="U294" s="1" t="str">
        <f t="shared" si="29"/>
        <v>Low</v>
      </c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24"/>
        <v>2902.4700000000003</v>
      </c>
      <c r="Q295" s="1">
        <f t="shared" si="25"/>
        <v>0</v>
      </c>
      <c r="R295" s="11">
        <f t="shared" si="26"/>
        <v>2902.4700000000003</v>
      </c>
      <c r="S295" s="1" t="str">
        <f t="shared" si="27"/>
        <v>Low</v>
      </c>
      <c r="T295" s="1" t="str">
        <f t="shared" si="28"/>
        <v>Low</v>
      </c>
      <c r="U295" s="1" t="str">
        <f t="shared" si="29"/>
        <v>Low</v>
      </c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24"/>
        <v>619.73</v>
      </c>
      <c r="Q296" s="1">
        <f t="shared" si="25"/>
        <v>0</v>
      </c>
      <c r="R296" s="11">
        <f t="shared" si="26"/>
        <v>619.73</v>
      </c>
      <c r="S296" s="1" t="str">
        <f t="shared" si="27"/>
        <v>Low</v>
      </c>
      <c r="T296" s="1" t="str">
        <f t="shared" si="28"/>
        <v>Low</v>
      </c>
      <c r="U296" s="1" t="str">
        <f t="shared" si="29"/>
        <v>Low</v>
      </c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24"/>
        <v>14251.65</v>
      </c>
      <c r="Q297" s="1">
        <f t="shared" si="25"/>
        <v>712.58249999999998</v>
      </c>
      <c r="R297" s="11">
        <f t="shared" si="26"/>
        <v>13539.067499999999</v>
      </c>
      <c r="S297" s="1" t="str">
        <f t="shared" si="27"/>
        <v>High</v>
      </c>
      <c r="T297" s="1" t="str">
        <f t="shared" si="28"/>
        <v>Medium</v>
      </c>
      <c r="U297" s="1" t="str">
        <f t="shared" si="29"/>
        <v>Medium</v>
      </c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24"/>
        <v>2347</v>
      </c>
      <c r="Q298" s="1">
        <f t="shared" si="25"/>
        <v>234.70000000000002</v>
      </c>
      <c r="R298" s="11">
        <f t="shared" si="26"/>
        <v>2112.3000000000002</v>
      </c>
      <c r="S298" s="1" t="str">
        <f t="shared" si="27"/>
        <v>Low</v>
      </c>
      <c r="T298" s="1" t="str">
        <f t="shared" si="28"/>
        <v>Low</v>
      </c>
      <c r="U298" s="1" t="str">
        <f t="shared" si="29"/>
        <v>Low</v>
      </c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24"/>
        <v>35892.9</v>
      </c>
      <c r="Q299" s="1">
        <f t="shared" si="25"/>
        <v>0</v>
      </c>
      <c r="R299" s="11">
        <f t="shared" si="26"/>
        <v>35892.9</v>
      </c>
      <c r="S299" s="1" t="str">
        <f t="shared" si="27"/>
        <v>High</v>
      </c>
      <c r="T299" s="1" t="str">
        <f t="shared" si="28"/>
        <v>High</v>
      </c>
      <c r="U299" s="1" t="str">
        <f t="shared" si="29"/>
        <v>High</v>
      </c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24"/>
        <v>7706.61</v>
      </c>
      <c r="Q300" s="1">
        <f t="shared" si="25"/>
        <v>385.33050000000003</v>
      </c>
      <c r="R300" s="11">
        <f t="shared" si="26"/>
        <v>7321.2794999999996</v>
      </c>
      <c r="S300" s="1" t="str">
        <f t="shared" si="27"/>
        <v>High</v>
      </c>
      <c r="T300" s="1" t="str">
        <f t="shared" si="28"/>
        <v>High</v>
      </c>
      <c r="U300" s="1" t="str">
        <f t="shared" si="29"/>
        <v>High</v>
      </c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24"/>
        <v>12187.25</v>
      </c>
      <c r="Q301" s="1">
        <f t="shared" si="25"/>
        <v>1828.0874999999999</v>
      </c>
      <c r="R301" s="11">
        <f t="shared" si="26"/>
        <v>10359.1625</v>
      </c>
      <c r="S301" s="1" t="str">
        <f t="shared" si="27"/>
        <v>High</v>
      </c>
      <c r="T301" s="1" t="str">
        <f t="shared" si="28"/>
        <v>Medium</v>
      </c>
      <c r="U301" s="1" t="str">
        <f t="shared" si="29"/>
        <v>Medium</v>
      </c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24"/>
        <v>6935.16</v>
      </c>
      <c r="Q302" s="1">
        <f t="shared" si="25"/>
        <v>346.75800000000004</v>
      </c>
      <c r="R302" s="11">
        <f t="shared" si="26"/>
        <v>6588.402</v>
      </c>
      <c r="S302" s="1" t="str">
        <f t="shared" si="27"/>
        <v>Low</v>
      </c>
      <c r="T302" s="1" t="str">
        <f t="shared" si="28"/>
        <v>Low</v>
      </c>
      <c r="U302" s="1" t="str">
        <f t="shared" si="29"/>
        <v>Low</v>
      </c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24"/>
        <v>4456.13</v>
      </c>
      <c r="Q303" s="1">
        <f t="shared" si="25"/>
        <v>222.80650000000003</v>
      </c>
      <c r="R303" s="11">
        <f t="shared" si="26"/>
        <v>4233.3235000000004</v>
      </c>
      <c r="S303" s="1" t="str">
        <f t="shared" si="27"/>
        <v>High</v>
      </c>
      <c r="T303" s="1" t="str">
        <f t="shared" si="28"/>
        <v>High</v>
      </c>
      <c r="U303" s="1" t="str">
        <f t="shared" si="29"/>
        <v>High</v>
      </c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24"/>
        <v>1543.1999999999998</v>
      </c>
      <c r="Q304" s="1">
        <f t="shared" si="25"/>
        <v>0</v>
      </c>
      <c r="R304" s="11">
        <f t="shared" si="26"/>
        <v>1543.1999999999998</v>
      </c>
      <c r="S304" s="1" t="str">
        <f t="shared" si="27"/>
        <v>High</v>
      </c>
      <c r="T304" s="1" t="str">
        <f t="shared" si="28"/>
        <v>High</v>
      </c>
      <c r="U304" s="1" t="str">
        <f t="shared" si="29"/>
        <v>High</v>
      </c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24"/>
        <v>10190.08</v>
      </c>
      <c r="Q305" s="1">
        <f t="shared" si="25"/>
        <v>2038.0160000000001</v>
      </c>
      <c r="R305" s="11">
        <f t="shared" si="26"/>
        <v>8152.0640000000003</v>
      </c>
      <c r="S305" s="1" t="str">
        <f t="shared" si="27"/>
        <v>Low</v>
      </c>
      <c r="T305" s="1" t="str">
        <f t="shared" si="28"/>
        <v>Low</v>
      </c>
      <c r="U305" s="1" t="str">
        <f t="shared" si="29"/>
        <v>Low</v>
      </c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24"/>
        <v>6512.04</v>
      </c>
      <c r="Q306" s="1">
        <f t="shared" si="25"/>
        <v>1302.4080000000001</v>
      </c>
      <c r="R306" s="11">
        <f t="shared" si="26"/>
        <v>5209.6319999999996</v>
      </c>
      <c r="S306" s="1" t="str">
        <f t="shared" si="27"/>
        <v>Low</v>
      </c>
      <c r="T306" s="1" t="str">
        <f t="shared" si="28"/>
        <v>Low</v>
      </c>
      <c r="U306" s="1" t="str">
        <f t="shared" si="29"/>
        <v>Low</v>
      </c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24"/>
        <v>3391.76</v>
      </c>
      <c r="Q307" s="1">
        <f t="shared" si="25"/>
        <v>678.35200000000009</v>
      </c>
      <c r="R307" s="11">
        <f t="shared" si="26"/>
        <v>2713.4080000000004</v>
      </c>
      <c r="S307" s="1" t="str">
        <f t="shared" si="27"/>
        <v>Low</v>
      </c>
      <c r="T307" s="1" t="str">
        <f t="shared" si="28"/>
        <v>Low</v>
      </c>
      <c r="U307" s="1" t="str">
        <f t="shared" si="29"/>
        <v>Low</v>
      </c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24"/>
        <v>8033.8</v>
      </c>
      <c r="Q308" s="1">
        <f t="shared" si="25"/>
        <v>401.69000000000005</v>
      </c>
      <c r="R308" s="11">
        <f t="shared" si="26"/>
        <v>7632.1100000000006</v>
      </c>
      <c r="S308" s="1" t="str">
        <f t="shared" si="27"/>
        <v>Low</v>
      </c>
      <c r="T308" s="1" t="str">
        <f t="shared" si="28"/>
        <v>Low</v>
      </c>
      <c r="U308" s="1" t="str">
        <f t="shared" si="29"/>
        <v>Low</v>
      </c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24"/>
        <v>12572.8</v>
      </c>
      <c r="Q309" s="1">
        <f t="shared" si="25"/>
        <v>0</v>
      </c>
      <c r="R309" s="11">
        <f t="shared" si="26"/>
        <v>12572.8</v>
      </c>
      <c r="S309" s="1" t="str">
        <f t="shared" si="27"/>
        <v>Low</v>
      </c>
      <c r="T309" s="1" t="str">
        <f t="shared" si="28"/>
        <v>Low</v>
      </c>
      <c r="U309" s="1" t="str">
        <f t="shared" si="29"/>
        <v>Low</v>
      </c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24"/>
        <v>2740.46</v>
      </c>
      <c r="Q310" s="1">
        <f t="shared" si="25"/>
        <v>274.04599999999999</v>
      </c>
      <c r="R310" s="11">
        <f t="shared" si="26"/>
        <v>2466.4140000000002</v>
      </c>
      <c r="S310" s="1" t="str">
        <f t="shared" si="27"/>
        <v>Low</v>
      </c>
      <c r="T310" s="1" t="str">
        <f t="shared" si="28"/>
        <v>Low</v>
      </c>
      <c r="U310" s="1" t="str">
        <f t="shared" si="29"/>
        <v>Low</v>
      </c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24"/>
        <v>17630.28</v>
      </c>
      <c r="Q311" s="1">
        <f t="shared" si="25"/>
        <v>881.51400000000001</v>
      </c>
      <c r="R311" s="11">
        <f t="shared" si="26"/>
        <v>16748.766</v>
      </c>
      <c r="S311" s="1" t="str">
        <f t="shared" si="27"/>
        <v>High</v>
      </c>
      <c r="T311" s="1" t="str">
        <f t="shared" si="28"/>
        <v>High</v>
      </c>
      <c r="U311" s="1" t="str">
        <f t="shared" si="29"/>
        <v>High</v>
      </c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24"/>
        <v>8186.04</v>
      </c>
      <c r="Q312" s="1">
        <f t="shared" si="25"/>
        <v>409.30200000000002</v>
      </c>
      <c r="R312" s="11">
        <f t="shared" si="26"/>
        <v>7776.7380000000003</v>
      </c>
      <c r="S312" s="1" t="str">
        <f t="shared" si="27"/>
        <v>Low</v>
      </c>
      <c r="T312" s="1" t="str">
        <f t="shared" si="28"/>
        <v>Low</v>
      </c>
      <c r="U312" s="1" t="str">
        <f t="shared" si="29"/>
        <v>Low</v>
      </c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24"/>
        <v>2588.64</v>
      </c>
      <c r="Q313" s="1">
        <f t="shared" si="25"/>
        <v>0</v>
      </c>
      <c r="R313" s="11">
        <f t="shared" si="26"/>
        <v>2588.64</v>
      </c>
      <c r="S313" s="1" t="str">
        <f t="shared" si="27"/>
        <v>Low</v>
      </c>
      <c r="T313" s="1" t="str">
        <f t="shared" si="28"/>
        <v>Low</v>
      </c>
      <c r="U313" s="1" t="str">
        <f t="shared" si="29"/>
        <v>Low</v>
      </c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24"/>
        <v>3251.27</v>
      </c>
      <c r="Q314" s="1">
        <f t="shared" si="25"/>
        <v>487.69049999999999</v>
      </c>
      <c r="R314" s="11">
        <f t="shared" si="26"/>
        <v>2763.5794999999998</v>
      </c>
      <c r="S314" s="1" t="str">
        <f t="shared" si="27"/>
        <v>Low</v>
      </c>
      <c r="T314" s="1" t="str">
        <f t="shared" si="28"/>
        <v>Low</v>
      </c>
      <c r="U314" s="1" t="str">
        <f t="shared" si="29"/>
        <v>Low</v>
      </c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24"/>
        <v>1681.85</v>
      </c>
      <c r="Q315" s="1">
        <f t="shared" si="25"/>
        <v>84.092500000000001</v>
      </c>
      <c r="R315" s="11">
        <f t="shared" si="26"/>
        <v>1597.7574999999999</v>
      </c>
      <c r="S315" s="1" t="str">
        <f t="shared" si="27"/>
        <v>Low</v>
      </c>
      <c r="T315" s="1" t="str">
        <f t="shared" si="28"/>
        <v>Low</v>
      </c>
      <c r="U315" s="1" t="str">
        <f t="shared" si="29"/>
        <v>Low</v>
      </c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24"/>
        <v>26024.16</v>
      </c>
      <c r="Q316" s="1">
        <f t="shared" si="25"/>
        <v>3903.6239999999998</v>
      </c>
      <c r="R316" s="11">
        <f t="shared" si="26"/>
        <v>22120.536</v>
      </c>
      <c r="S316" s="1" t="str">
        <f t="shared" si="27"/>
        <v>High</v>
      </c>
      <c r="T316" s="1" t="str">
        <f t="shared" si="28"/>
        <v>High</v>
      </c>
      <c r="U316" s="1" t="str">
        <f t="shared" si="29"/>
        <v>High</v>
      </c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24"/>
        <v>19434.080000000002</v>
      </c>
      <c r="Q317" s="1">
        <f t="shared" si="25"/>
        <v>2915.1120000000001</v>
      </c>
      <c r="R317" s="11">
        <f t="shared" si="26"/>
        <v>16518.968000000001</v>
      </c>
      <c r="S317" s="1" t="str">
        <f t="shared" si="27"/>
        <v>High</v>
      </c>
      <c r="T317" s="1" t="str">
        <f t="shared" si="28"/>
        <v>High</v>
      </c>
      <c r="U317" s="1" t="str">
        <f t="shared" si="29"/>
        <v>High</v>
      </c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24"/>
        <v>1577.44</v>
      </c>
      <c r="Q318" s="1">
        <f t="shared" si="25"/>
        <v>315.48800000000006</v>
      </c>
      <c r="R318" s="11">
        <f t="shared" si="26"/>
        <v>1261.952</v>
      </c>
      <c r="S318" s="1" t="str">
        <f t="shared" si="27"/>
        <v>Low</v>
      </c>
      <c r="T318" s="1" t="str">
        <f t="shared" si="28"/>
        <v>Low</v>
      </c>
      <c r="U318" s="1" t="str">
        <f t="shared" si="29"/>
        <v>Low</v>
      </c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24"/>
        <v>1715.21</v>
      </c>
      <c r="Q319" s="1">
        <f t="shared" si="25"/>
        <v>0</v>
      </c>
      <c r="R319" s="11">
        <f t="shared" si="26"/>
        <v>1715.21</v>
      </c>
      <c r="S319" s="1" t="str">
        <f t="shared" si="27"/>
        <v>High</v>
      </c>
      <c r="T319" s="1" t="str">
        <f t="shared" si="28"/>
        <v>High</v>
      </c>
      <c r="U319" s="1" t="str">
        <f t="shared" si="29"/>
        <v>High</v>
      </c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24"/>
        <v>12372.8</v>
      </c>
      <c r="Q320" s="1">
        <f t="shared" si="25"/>
        <v>1855.9199999999998</v>
      </c>
      <c r="R320" s="11">
        <f t="shared" si="26"/>
        <v>10516.88</v>
      </c>
      <c r="S320" s="1" t="str">
        <f t="shared" si="27"/>
        <v>High</v>
      </c>
      <c r="T320" s="1" t="str">
        <f t="shared" si="28"/>
        <v>High</v>
      </c>
      <c r="U320" s="1" t="str">
        <f t="shared" si="29"/>
        <v>High</v>
      </c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24"/>
        <v>18038.240000000002</v>
      </c>
      <c r="Q321" s="1">
        <f t="shared" si="25"/>
        <v>0</v>
      </c>
      <c r="R321" s="11">
        <f t="shared" si="26"/>
        <v>18038.240000000002</v>
      </c>
      <c r="S321" s="1" t="str">
        <f t="shared" si="27"/>
        <v>High</v>
      </c>
      <c r="T321" s="1" t="str">
        <f t="shared" si="28"/>
        <v>High</v>
      </c>
      <c r="U321" s="1" t="str">
        <f t="shared" si="29"/>
        <v>High</v>
      </c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24"/>
        <v>23683.17</v>
      </c>
      <c r="Q322" s="1">
        <f t="shared" si="25"/>
        <v>4736.634</v>
      </c>
      <c r="R322" s="11">
        <f t="shared" si="26"/>
        <v>18946.536</v>
      </c>
      <c r="S322" s="1" t="str">
        <f t="shared" si="27"/>
        <v>High</v>
      </c>
      <c r="T322" s="1" t="str">
        <f t="shared" si="28"/>
        <v>High</v>
      </c>
      <c r="U322" s="1" t="str">
        <f t="shared" si="29"/>
        <v>High</v>
      </c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30">L323*M323</f>
        <v>3204.1000000000004</v>
      </c>
      <c r="Q323" s="1">
        <f t="shared" ref="Q323:Q386" si="31">P323*N323%</f>
        <v>0</v>
      </c>
      <c r="R323" s="11">
        <f t="shared" ref="R323:R386" si="32">P323-Q323</f>
        <v>3204.1000000000004</v>
      </c>
      <c r="S323" s="1" t="str">
        <f t="shared" ref="S323:S386" si="33">IF(L323&gt;=5,"High","Low")</f>
        <v>High</v>
      </c>
      <c r="T323" s="1" t="str">
        <f t="shared" ref="T323:T386" si="34">IF(L323&gt;5,"High",IF(L323=5,"Medium","Low"))</f>
        <v>Medium</v>
      </c>
      <c r="U323" s="1" t="str">
        <f t="shared" ref="U323:U386" si="35">IF(L323&gt;5,"High",IF(L323=5,"Medium","Low"))</f>
        <v>Medium</v>
      </c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30"/>
        <v>3230.79</v>
      </c>
      <c r="Q324" s="1">
        <f t="shared" si="31"/>
        <v>161.5395</v>
      </c>
      <c r="R324" s="11">
        <f t="shared" si="32"/>
        <v>3069.2505000000001</v>
      </c>
      <c r="S324" s="1" t="str">
        <f t="shared" si="33"/>
        <v>Low</v>
      </c>
      <c r="T324" s="1" t="str">
        <f t="shared" si="34"/>
        <v>Low</v>
      </c>
      <c r="U324" s="1" t="str">
        <f t="shared" si="35"/>
        <v>Low</v>
      </c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30"/>
        <v>31253.22</v>
      </c>
      <c r="Q325" s="1">
        <f t="shared" si="31"/>
        <v>4687.9830000000002</v>
      </c>
      <c r="R325" s="11">
        <f t="shared" si="32"/>
        <v>26565.237000000001</v>
      </c>
      <c r="S325" s="1" t="str">
        <f t="shared" si="33"/>
        <v>High</v>
      </c>
      <c r="T325" s="1" t="str">
        <f t="shared" si="34"/>
        <v>High</v>
      </c>
      <c r="U325" s="1" t="str">
        <f t="shared" si="35"/>
        <v>High</v>
      </c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30"/>
        <v>5111.05</v>
      </c>
      <c r="Q326" s="1">
        <f t="shared" si="31"/>
        <v>0</v>
      </c>
      <c r="R326" s="11">
        <f t="shared" si="32"/>
        <v>5111.05</v>
      </c>
      <c r="S326" s="1" t="str">
        <f t="shared" si="33"/>
        <v>High</v>
      </c>
      <c r="T326" s="1" t="str">
        <f t="shared" si="34"/>
        <v>High</v>
      </c>
      <c r="U326" s="1" t="str">
        <f t="shared" si="35"/>
        <v>High</v>
      </c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30"/>
        <v>6857.28</v>
      </c>
      <c r="Q327" s="1">
        <f t="shared" si="31"/>
        <v>685.72800000000007</v>
      </c>
      <c r="R327" s="11">
        <f t="shared" si="32"/>
        <v>6171.5519999999997</v>
      </c>
      <c r="S327" s="1" t="str">
        <f t="shared" si="33"/>
        <v>Low</v>
      </c>
      <c r="T327" s="1" t="str">
        <f t="shared" si="34"/>
        <v>Low</v>
      </c>
      <c r="U327" s="1" t="str">
        <f t="shared" si="35"/>
        <v>Low</v>
      </c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30"/>
        <v>23802.6</v>
      </c>
      <c r="Q328" s="1">
        <f t="shared" si="31"/>
        <v>0</v>
      </c>
      <c r="R328" s="11">
        <f t="shared" si="32"/>
        <v>23802.6</v>
      </c>
      <c r="S328" s="1" t="str">
        <f t="shared" si="33"/>
        <v>High</v>
      </c>
      <c r="T328" s="1" t="str">
        <f t="shared" si="34"/>
        <v>High</v>
      </c>
      <c r="U328" s="1" t="str">
        <f t="shared" si="35"/>
        <v>High</v>
      </c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30"/>
        <v>5896.66</v>
      </c>
      <c r="Q329" s="1">
        <f t="shared" si="31"/>
        <v>884.49899999999991</v>
      </c>
      <c r="R329" s="11">
        <f t="shared" si="32"/>
        <v>5012.1610000000001</v>
      </c>
      <c r="S329" s="1" t="str">
        <f t="shared" si="33"/>
        <v>Low</v>
      </c>
      <c r="T329" s="1" t="str">
        <f t="shared" si="34"/>
        <v>Low</v>
      </c>
      <c r="U329" s="1" t="str">
        <f t="shared" si="35"/>
        <v>Low</v>
      </c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30"/>
        <v>3171.36</v>
      </c>
      <c r="Q330" s="1">
        <f t="shared" si="31"/>
        <v>634.27200000000005</v>
      </c>
      <c r="R330" s="11">
        <f t="shared" si="32"/>
        <v>2537.0880000000002</v>
      </c>
      <c r="S330" s="1" t="str">
        <f t="shared" si="33"/>
        <v>Low</v>
      </c>
      <c r="T330" s="1" t="str">
        <f t="shared" si="34"/>
        <v>Low</v>
      </c>
      <c r="U330" s="1" t="str">
        <f t="shared" si="35"/>
        <v>Low</v>
      </c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30"/>
        <v>27849.5</v>
      </c>
      <c r="Q331" s="1">
        <f t="shared" si="31"/>
        <v>5569.9000000000005</v>
      </c>
      <c r="R331" s="11">
        <f t="shared" si="32"/>
        <v>22279.599999999999</v>
      </c>
      <c r="S331" s="1" t="str">
        <f t="shared" si="33"/>
        <v>High</v>
      </c>
      <c r="T331" s="1" t="str">
        <f t="shared" si="34"/>
        <v>High</v>
      </c>
      <c r="U331" s="1" t="str">
        <f t="shared" si="35"/>
        <v>High</v>
      </c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30"/>
        <v>4962.2</v>
      </c>
      <c r="Q332" s="1">
        <f t="shared" si="31"/>
        <v>744.32999999999993</v>
      </c>
      <c r="R332" s="11">
        <f t="shared" si="32"/>
        <v>4217.87</v>
      </c>
      <c r="S332" s="1" t="str">
        <f t="shared" si="33"/>
        <v>Low</v>
      </c>
      <c r="T332" s="1" t="str">
        <f t="shared" si="34"/>
        <v>Low</v>
      </c>
      <c r="U332" s="1" t="str">
        <f t="shared" si="35"/>
        <v>Low</v>
      </c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30"/>
        <v>2670.72</v>
      </c>
      <c r="Q333" s="1">
        <f t="shared" si="31"/>
        <v>133.536</v>
      </c>
      <c r="R333" s="11">
        <f t="shared" si="32"/>
        <v>2537.1839999999997</v>
      </c>
      <c r="S333" s="1" t="str">
        <f t="shared" si="33"/>
        <v>Low</v>
      </c>
      <c r="T333" s="1" t="str">
        <f t="shared" si="34"/>
        <v>Low</v>
      </c>
      <c r="U333" s="1" t="str">
        <f t="shared" si="35"/>
        <v>Low</v>
      </c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30"/>
        <v>16872.449999999997</v>
      </c>
      <c r="Q334" s="1">
        <f t="shared" si="31"/>
        <v>843.62249999999995</v>
      </c>
      <c r="R334" s="11">
        <f t="shared" si="32"/>
        <v>16028.827499999998</v>
      </c>
      <c r="S334" s="1" t="str">
        <f t="shared" si="33"/>
        <v>High</v>
      </c>
      <c r="T334" s="1" t="str">
        <f t="shared" si="34"/>
        <v>Medium</v>
      </c>
      <c r="U334" s="1" t="str">
        <f t="shared" si="35"/>
        <v>Medium</v>
      </c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30"/>
        <v>12578.85</v>
      </c>
      <c r="Q335" s="1">
        <f t="shared" si="31"/>
        <v>2515.7700000000004</v>
      </c>
      <c r="R335" s="11">
        <f t="shared" si="32"/>
        <v>10063.08</v>
      </c>
      <c r="S335" s="1" t="str">
        <f t="shared" si="33"/>
        <v>High</v>
      </c>
      <c r="T335" s="1" t="str">
        <f t="shared" si="34"/>
        <v>Medium</v>
      </c>
      <c r="U335" s="1" t="str">
        <f t="shared" si="35"/>
        <v>Medium</v>
      </c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30"/>
        <v>16713.2</v>
      </c>
      <c r="Q336" s="1">
        <f t="shared" si="31"/>
        <v>3342.6400000000003</v>
      </c>
      <c r="R336" s="11">
        <f t="shared" si="32"/>
        <v>13370.560000000001</v>
      </c>
      <c r="S336" s="1" t="str">
        <f t="shared" si="33"/>
        <v>High</v>
      </c>
      <c r="T336" s="1" t="str">
        <f t="shared" si="34"/>
        <v>High</v>
      </c>
      <c r="U336" s="1" t="str">
        <f t="shared" si="35"/>
        <v>High</v>
      </c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30"/>
        <v>1126.5</v>
      </c>
      <c r="Q337" s="1">
        <f t="shared" si="31"/>
        <v>168.97499999999999</v>
      </c>
      <c r="R337" s="11">
        <f t="shared" si="32"/>
        <v>957.52499999999998</v>
      </c>
      <c r="S337" s="1" t="str">
        <f t="shared" si="33"/>
        <v>Low</v>
      </c>
      <c r="T337" s="1" t="str">
        <f t="shared" si="34"/>
        <v>Low</v>
      </c>
      <c r="U337" s="1" t="str">
        <f t="shared" si="35"/>
        <v>Low</v>
      </c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30"/>
        <v>24495.119999999999</v>
      </c>
      <c r="Q338" s="1">
        <f t="shared" si="31"/>
        <v>1224.7560000000001</v>
      </c>
      <c r="R338" s="11">
        <f t="shared" si="32"/>
        <v>23270.363999999998</v>
      </c>
      <c r="S338" s="1" t="str">
        <f t="shared" si="33"/>
        <v>High</v>
      </c>
      <c r="T338" s="1" t="str">
        <f t="shared" si="34"/>
        <v>High</v>
      </c>
      <c r="U338" s="1" t="str">
        <f t="shared" si="35"/>
        <v>High</v>
      </c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30"/>
        <v>1393.26</v>
      </c>
      <c r="Q339" s="1">
        <f t="shared" si="31"/>
        <v>278.65199999999999</v>
      </c>
      <c r="R339" s="11">
        <f t="shared" si="32"/>
        <v>1114.6079999999999</v>
      </c>
      <c r="S339" s="1" t="str">
        <f t="shared" si="33"/>
        <v>Low</v>
      </c>
      <c r="T339" s="1" t="str">
        <f t="shared" si="34"/>
        <v>Low</v>
      </c>
      <c r="U339" s="1" t="str">
        <f t="shared" si="35"/>
        <v>Low</v>
      </c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30"/>
        <v>14834.04</v>
      </c>
      <c r="Q340" s="1">
        <f t="shared" si="31"/>
        <v>741.70200000000011</v>
      </c>
      <c r="R340" s="11">
        <f t="shared" si="32"/>
        <v>14092.338000000002</v>
      </c>
      <c r="S340" s="1" t="str">
        <f t="shared" si="33"/>
        <v>Low</v>
      </c>
      <c r="T340" s="1" t="str">
        <f t="shared" si="34"/>
        <v>Low</v>
      </c>
      <c r="U340" s="1" t="str">
        <f t="shared" si="35"/>
        <v>Low</v>
      </c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30"/>
        <v>12639.78</v>
      </c>
      <c r="Q341" s="1">
        <f t="shared" si="31"/>
        <v>2527.9560000000001</v>
      </c>
      <c r="R341" s="11">
        <f t="shared" si="32"/>
        <v>10111.824000000001</v>
      </c>
      <c r="S341" s="1" t="str">
        <f t="shared" si="33"/>
        <v>High</v>
      </c>
      <c r="T341" s="1" t="str">
        <f t="shared" si="34"/>
        <v>High</v>
      </c>
      <c r="U341" s="1" t="str">
        <f t="shared" si="35"/>
        <v>High</v>
      </c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30"/>
        <v>2567.7199999999998</v>
      </c>
      <c r="Q342" s="1">
        <f t="shared" si="31"/>
        <v>0</v>
      </c>
      <c r="R342" s="11">
        <f t="shared" si="32"/>
        <v>2567.7199999999998</v>
      </c>
      <c r="S342" s="1" t="str">
        <f t="shared" si="33"/>
        <v>Low</v>
      </c>
      <c r="T342" s="1" t="str">
        <f t="shared" si="34"/>
        <v>Low</v>
      </c>
      <c r="U342" s="1" t="str">
        <f t="shared" si="35"/>
        <v>Low</v>
      </c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30"/>
        <v>9265.5499999999993</v>
      </c>
      <c r="Q343" s="1">
        <f t="shared" si="31"/>
        <v>926.55499999999995</v>
      </c>
      <c r="R343" s="11">
        <f t="shared" si="32"/>
        <v>8338.994999999999</v>
      </c>
      <c r="S343" s="1" t="str">
        <f t="shared" si="33"/>
        <v>High</v>
      </c>
      <c r="T343" s="1" t="str">
        <f t="shared" si="34"/>
        <v>Medium</v>
      </c>
      <c r="U343" s="1" t="str">
        <f t="shared" si="35"/>
        <v>Medium</v>
      </c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30"/>
        <v>2194.5699999999997</v>
      </c>
      <c r="Q344" s="1">
        <f t="shared" si="31"/>
        <v>0</v>
      </c>
      <c r="R344" s="11">
        <f t="shared" si="32"/>
        <v>2194.5699999999997</v>
      </c>
      <c r="S344" s="1" t="str">
        <f t="shared" si="33"/>
        <v>High</v>
      </c>
      <c r="T344" s="1" t="str">
        <f t="shared" si="34"/>
        <v>High</v>
      </c>
      <c r="U344" s="1" t="str">
        <f t="shared" si="35"/>
        <v>High</v>
      </c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30"/>
        <v>11143.24</v>
      </c>
      <c r="Q345" s="1">
        <f t="shared" si="31"/>
        <v>2228.6480000000001</v>
      </c>
      <c r="R345" s="11">
        <f t="shared" si="32"/>
        <v>8914.5920000000006</v>
      </c>
      <c r="S345" s="1" t="str">
        <f t="shared" si="33"/>
        <v>Low</v>
      </c>
      <c r="T345" s="1" t="str">
        <f t="shared" si="34"/>
        <v>Low</v>
      </c>
      <c r="U345" s="1" t="str">
        <f t="shared" si="35"/>
        <v>Low</v>
      </c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30"/>
        <v>3625.42</v>
      </c>
      <c r="Q346" s="1">
        <f t="shared" si="31"/>
        <v>362.54200000000003</v>
      </c>
      <c r="R346" s="11">
        <f t="shared" si="32"/>
        <v>3262.8780000000002</v>
      </c>
      <c r="S346" s="1" t="str">
        <f t="shared" si="33"/>
        <v>Low</v>
      </c>
      <c r="T346" s="1" t="str">
        <f t="shared" si="34"/>
        <v>Low</v>
      </c>
      <c r="U346" s="1" t="str">
        <f t="shared" si="35"/>
        <v>Low</v>
      </c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30"/>
        <v>30361.14</v>
      </c>
      <c r="Q347" s="1">
        <f t="shared" si="31"/>
        <v>3036.114</v>
      </c>
      <c r="R347" s="11">
        <f t="shared" si="32"/>
        <v>27325.025999999998</v>
      </c>
      <c r="S347" s="1" t="str">
        <f t="shared" si="33"/>
        <v>High</v>
      </c>
      <c r="T347" s="1" t="str">
        <f t="shared" si="34"/>
        <v>High</v>
      </c>
      <c r="U347" s="1" t="str">
        <f t="shared" si="35"/>
        <v>High</v>
      </c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30"/>
        <v>2561.48</v>
      </c>
      <c r="Q348" s="1">
        <f t="shared" si="31"/>
        <v>512.29600000000005</v>
      </c>
      <c r="R348" s="11">
        <f t="shared" si="32"/>
        <v>2049.1840000000002</v>
      </c>
      <c r="S348" s="1" t="str">
        <f t="shared" si="33"/>
        <v>Low</v>
      </c>
      <c r="T348" s="1" t="str">
        <f t="shared" si="34"/>
        <v>Low</v>
      </c>
      <c r="U348" s="1" t="str">
        <f t="shared" si="35"/>
        <v>Low</v>
      </c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30"/>
        <v>5725.26</v>
      </c>
      <c r="Q349" s="1">
        <f t="shared" si="31"/>
        <v>1145.0520000000001</v>
      </c>
      <c r="R349" s="11">
        <f t="shared" si="32"/>
        <v>4580.2080000000005</v>
      </c>
      <c r="S349" s="1" t="str">
        <f t="shared" si="33"/>
        <v>High</v>
      </c>
      <c r="T349" s="1" t="str">
        <f t="shared" si="34"/>
        <v>High</v>
      </c>
      <c r="U349" s="1" t="str">
        <f t="shared" si="35"/>
        <v>High</v>
      </c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30"/>
        <v>19690.32</v>
      </c>
      <c r="Q350" s="1">
        <f t="shared" si="31"/>
        <v>984.51600000000008</v>
      </c>
      <c r="R350" s="11">
        <f t="shared" si="32"/>
        <v>18705.804</v>
      </c>
      <c r="S350" s="1" t="str">
        <f t="shared" si="33"/>
        <v>High</v>
      </c>
      <c r="T350" s="1" t="str">
        <f t="shared" si="34"/>
        <v>High</v>
      </c>
      <c r="U350" s="1" t="str">
        <f t="shared" si="35"/>
        <v>High</v>
      </c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30"/>
        <v>3708.38</v>
      </c>
      <c r="Q351" s="1">
        <f t="shared" si="31"/>
        <v>741.67600000000004</v>
      </c>
      <c r="R351" s="11">
        <f t="shared" si="32"/>
        <v>2966.7040000000002</v>
      </c>
      <c r="S351" s="1" t="str">
        <f t="shared" si="33"/>
        <v>Low</v>
      </c>
      <c r="T351" s="1" t="str">
        <f t="shared" si="34"/>
        <v>Low</v>
      </c>
      <c r="U351" s="1" t="str">
        <f t="shared" si="35"/>
        <v>Low</v>
      </c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30"/>
        <v>5770.74</v>
      </c>
      <c r="Q352" s="1">
        <f t="shared" si="31"/>
        <v>865.61099999999999</v>
      </c>
      <c r="R352" s="11">
        <f t="shared" si="32"/>
        <v>4905.1289999999999</v>
      </c>
      <c r="S352" s="1" t="str">
        <f t="shared" si="33"/>
        <v>Low</v>
      </c>
      <c r="T352" s="1" t="str">
        <f t="shared" si="34"/>
        <v>Low</v>
      </c>
      <c r="U352" s="1" t="str">
        <f t="shared" si="35"/>
        <v>Low</v>
      </c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30"/>
        <v>4142.08</v>
      </c>
      <c r="Q353" s="1">
        <f t="shared" si="31"/>
        <v>828.41600000000005</v>
      </c>
      <c r="R353" s="11">
        <f t="shared" si="32"/>
        <v>3313.6639999999998</v>
      </c>
      <c r="S353" s="1" t="str">
        <f t="shared" si="33"/>
        <v>Low</v>
      </c>
      <c r="T353" s="1" t="str">
        <f t="shared" si="34"/>
        <v>Low</v>
      </c>
      <c r="U353" s="1" t="str">
        <f t="shared" si="35"/>
        <v>Low</v>
      </c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30"/>
        <v>12377.789999999999</v>
      </c>
      <c r="Q354" s="1">
        <f t="shared" si="31"/>
        <v>1856.6684999999998</v>
      </c>
      <c r="R354" s="11">
        <f t="shared" si="32"/>
        <v>10521.121499999999</v>
      </c>
      <c r="S354" s="1" t="str">
        <f t="shared" si="33"/>
        <v>High</v>
      </c>
      <c r="T354" s="1" t="str">
        <f t="shared" si="34"/>
        <v>High</v>
      </c>
      <c r="U354" s="1" t="str">
        <f t="shared" si="35"/>
        <v>High</v>
      </c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30"/>
        <v>3592.92</v>
      </c>
      <c r="Q355" s="1">
        <f t="shared" si="31"/>
        <v>718.58400000000006</v>
      </c>
      <c r="R355" s="11">
        <f t="shared" si="32"/>
        <v>2874.3360000000002</v>
      </c>
      <c r="S355" s="1" t="str">
        <f t="shared" si="33"/>
        <v>Low</v>
      </c>
      <c r="T355" s="1" t="str">
        <f t="shared" si="34"/>
        <v>Low</v>
      </c>
      <c r="U355" s="1" t="str">
        <f t="shared" si="35"/>
        <v>Low</v>
      </c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30"/>
        <v>23695.920000000002</v>
      </c>
      <c r="Q356" s="1">
        <f t="shared" si="31"/>
        <v>1184.796</v>
      </c>
      <c r="R356" s="11">
        <f t="shared" si="32"/>
        <v>22511.124000000003</v>
      </c>
      <c r="S356" s="1" t="str">
        <f t="shared" si="33"/>
        <v>High</v>
      </c>
      <c r="T356" s="1" t="str">
        <f t="shared" si="34"/>
        <v>High</v>
      </c>
      <c r="U356" s="1" t="str">
        <f t="shared" si="35"/>
        <v>High</v>
      </c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30"/>
        <v>11337.93</v>
      </c>
      <c r="Q357" s="1">
        <f t="shared" si="31"/>
        <v>1700.6895</v>
      </c>
      <c r="R357" s="11">
        <f t="shared" si="32"/>
        <v>9637.2404999999999</v>
      </c>
      <c r="S357" s="1" t="str">
        <f t="shared" si="33"/>
        <v>High</v>
      </c>
      <c r="T357" s="1" t="str">
        <f t="shared" si="34"/>
        <v>High</v>
      </c>
      <c r="U357" s="1" t="str">
        <f t="shared" si="35"/>
        <v>High</v>
      </c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30"/>
        <v>10402.48</v>
      </c>
      <c r="Q358" s="1">
        <f t="shared" si="31"/>
        <v>0</v>
      </c>
      <c r="R358" s="11">
        <f t="shared" si="32"/>
        <v>10402.48</v>
      </c>
      <c r="S358" s="1" t="str">
        <f t="shared" si="33"/>
        <v>High</v>
      </c>
      <c r="T358" s="1" t="str">
        <f t="shared" si="34"/>
        <v>High</v>
      </c>
      <c r="U358" s="1" t="str">
        <f t="shared" si="35"/>
        <v>High</v>
      </c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30"/>
        <v>28648.959999999999</v>
      </c>
      <c r="Q359" s="1">
        <f t="shared" si="31"/>
        <v>4297.3440000000001</v>
      </c>
      <c r="R359" s="11">
        <f t="shared" si="32"/>
        <v>24351.615999999998</v>
      </c>
      <c r="S359" s="1" t="str">
        <f t="shared" si="33"/>
        <v>High</v>
      </c>
      <c r="T359" s="1" t="str">
        <f t="shared" si="34"/>
        <v>High</v>
      </c>
      <c r="U359" s="1" t="str">
        <f t="shared" si="35"/>
        <v>High</v>
      </c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30"/>
        <v>202.49</v>
      </c>
      <c r="Q360" s="1">
        <f t="shared" si="31"/>
        <v>10.124500000000001</v>
      </c>
      <c r="R360" s="11">
        <f t="shared" si="32"/>
        <v>192.3655</v>
      </c>
      <c r="S360" s="1" t="str">
        <f t="shared" si="33"/>
        <v>Low</v>
      </c>
      <c r="T360" s="1" t="str">
        <f t="shared" si="34"/>
        <v>Low</v>
      </c>
      <c r="U360" s="1" t="str">
        <f t="shared" si="35"/>
        <v>Low</v>
      </c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30"/>
        <v>11140</v>
      </c>
      <c r="Q361" s="1">
        <f t="shared" si="31"/>
        <v>1671</v>
      </c>
      <c r="R361" s="11">
        <f t="shared" si="32"/>
        <v>9469</v>
      </c>
      <c r="S361" s="1" t="str">
        <f t="shared" si="33"/>
        <v>High</v>
      </c>
      <c r="T361" s="1" t="str">
        <f t="shared" si="34"/>
        <v>High</v>
      </c>
      <c r="U361" s="1" t="str">
        <f t="shared" si="35"/>
        <v>High</v>
      </c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30"/>
        <v>6852.8099999999995</v>
      </c>
      <c r="Q362" s="1">
        <f t="shared" si="31"/>
        <v>1370.5619999999999</v>
      </c>
      <c r="R362" s="11">
        <f t="shared" si="32"/>
        <v>5482.2479999999996</v>
      </c>
      <c r="S362" s="1" t="str">
        <f t="shared" si="33"/>
        <v>Low</v>
      </c>
      <c r="T362" s="1" t="str">
        <f t="shared" si="34"/>
        <v>Low</v>
      </c>
      <c r="U362" s="1" t="str">
        <f t="shared" si="35"/>
        <v>Low</v>
      </c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30"/>
        <v>5044.4799999999996</v>
      </c>
      <c r="Q363" s="1">
        <f t="shared" si="31"/>
        <v>1008.896</v>
      </c>
      <c r="R363" s="11">
        <f t="shared" si="32"/>
        <v>4035.5839999999998</v>
      </c>
      <c r="S363" s="1" t="str">
        <f t="shared" si="33"/>
        <v>High</v>
      </c>
      <c r="T363" s="1" t="str">
        <f t="shared" si="34"/>
        <v>High</v>
      </c>
      <c r="U363" s="1" t="str">
        <f t="shared" si="35"/>
        <v>High</v>
      </c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30"/>
        <v>504.58</v>
      </c>
      <c r="Q364" s="1">
        <f t="shared" si="31"/>
        <v>25.228999999999999</v>
      </c>
      <c r="R364" s="11">
        <f t="shared" si="32"/>
        <v>479.351</v>
      </c>
      <c r="S364" s="1" t="str">
        <f t="shared" si="33"/>
        <v>Low</v>
      </c>
      <c r="T364" s="1" t="str">
        <f t="shared" si="34"/>
        <v>Low</v>
      </c>
      <c r="U364" s="1" t="str">
        <f t="shared" si="35"/>
        <v>Low</v>
      </c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30"/>
        <v>3288.81</v>
      </c>
      <c r="Q365" s="1">
        <f t="shared" si="31"/>
        <v>328.88100000000003</v>
      </c>
      <c r="R365" s="11">
        <f t="shared" si="32"/>
        <v>2959.9290000000001</v>
      </c>
      <c r="S365" s="1" t="str">
        <f t="shared" si="33"/>
        <v>Low</v>
      </c>
      <c r="T365" s="1" t="str">
        <f t="shared" si="34"/>
        <v>Low</v>
      </c>
      <c r="U365" s="1" t="str">
        <f t="shared" si="35"/>
        <v>Low</v>
      </c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30"/>
        <v>17967.3</v>
      </c>
      <c r="Q366" s="1">
        <f t="shared" si="31"/>
        <v>3593.46</v>
      </c>
      <c r="R366" s="11">
        <f t="shared" si="32"/>
        <v>14373.84</v>
      </c>
      <c r="S366" s="1" t="str">
        <f t="shared" si="33"/>
        <v>High</v>
      </c>
      <c r="T366" s="1" t="str">
        <f t="shared" si="34"/>
        <v>Medium</v>
      </c>
      <c r="U366" s="1" t="str">
        <f t="shared" si="35"/>
        <v>Medium</v>
      </c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30"/>
        <v>16604.400000000001</v>
      </c>
      <c r="Q367" s="1">
        <f t="shared" si="31"/>
        <v>0</v>
      </c>
      <c r="R367" s="11">
        <f t="shared" si="32"/>
        <v>16604.400000000001</v>
      </c>
      <c r="S367" s="1" t="str">
        <f t="shared" si="33"/>
        <v>High</v>
      </c>
      <c r="T367" s="1" t="str">
        <f t="shared" si="34"/>
        <v>Medium</v>
      </c>
      <c r="U367" s="1" t="str">
        <f t="shared" si="35"/>
        <v>Medium</v>
      </c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30"/>
        <v>28882.639999999999</v>
      </c>
      <c r="Q368" s="1">
        <f t="shared" si="31"/>
        <v>1444.1320000000001</v>
      </c>
      <c r="R368" s="11">
        <f t="shared" si="32"/>
        <v>27438.507999999998</v>
      </c>
      <c r="S368" s="1" t="str">
        <f t="shared" si="33"/>
        <v>High</v>
      </c>
      <c r="T368" s="1" t="str">
        <f t="shared" si="34"/>
        <v>High</v>
      </c>
      <c r="U368" s="1" t="str">
        <f t="shared" si="35"/>
        <v>High</v>
      </c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30"/>
        <v>15956.36</v>
      </c>
      <c r="Q369" s="1">
        <f t="shared" si="31"/>
        <v>2393.4540000000002</v>
      </c>
      <c r="R369" s="11">
        <f t="shared" si="32"/>
        <v>13562.906000000001</v>
      </c>
      <c r="S369" s="1" t="str">
        <f t="shared" si="33"/>
        <v>High</v>
      </c>
      <c r="T369" s="1" t="str">
        <f t="shared" si="34"/>
        <v>High</v>
      </c>
      <c r="U369" s="1" t="str">
        <f t="shared" si="35"/>
        <v>High</v>
      </c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30"/>
        <v>26217.52</v>
      </c>
      <c r="Q370" s="1">
        <f t="shared" si="31"/>
        <v>3932.6279999999997</v>
      </c>
      <c r="R370" s="11">
        <f t="shared" si="32"/>
        <v>22284.892</v>
      </c>
      <c r="S370" s="1" t="str">
        <f t="shared" si="33"/>
        <v>High</v>
      </c>
      <c r="T370" s="1" t="str">
        <f t="shared" si="34"/>
        <v>High</v>
      </c>
      <c r="U370" s="1" t="str">
        <f t="shared" si="35"/>
        <v>High</v>
      </c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30"/>
        <v>9771.36</v>
      </c>
      <c r="Q371" s="1">
        <f t="shared" si="31"/>
        <v>0</v>
      </c>
      <c r="R371" s="11">
        <f t="shared" si="32"/>
        <v>9771.36</v>
      </c>
      <c r="S371" s="1" t="str">
        <f t="shared" si="33"/>
        <v>High</v>
      </c>
      <c r="T371" s="1" t="str">
        <f t="shared" si="34"/>
        <v>High</v>
      </c>
      <c r="U371" s="1" t="str">
        <f t="shared" si="35"/>
        <v>High</v>
      </c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30"/>
        <v>16290.78</v>
      </c>
      <c r="Q372" s="1">
        <f t="shared" si="31"/>
        <v>3258.1560000000004</v>
      </c>
      <c r="R372" s="11">
        <f t="shared" si="32"/>
        <v>13032.624</v>
      </c>
      <c r="S372" s="1" t="str">
        <f t="shared" si="33"/>
        <v>High</v>
      </c>
      <c r="T372" s="1" t="str">
        <f t="shared" si="34"/>
        <v>High</v>
      </c>
      <c r="U372" s="1" t="str">
        <f t="shared" si="35"/>
        <v>High</v>
      </c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30"/>
        <v>7914.04</v>
      </c>
      <c r="Q373" s="1">
        <f t="shared" si="31"/>
        <v>395.702</v>
      </c>
      <c r="R373" s="11">
        <f t="shared" si="32"/>
        <v>7518.3379999999997</v>
      </c>
      <c r="S373" s="1" t="str">
        <f t="shared" si="33"/>
        <v>Low</v>
      </c>
      <c r="T373" s="1" t="str">
        <f t="shared" si="34"/>
        <v>Low</v>
      </c>
      <c r="U373" s="1" t="str">
        <f t="shared" si="35"/>
        <v>Low</v>
      </c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30"/>
        <v>6114.2999999999993</v>
      </c>
      <c r="Q374" s="1">
        <f t="shared" si="31"/>
        <v>0</v>
      </c>
      <c r="R374" s="11">
        <f t="shared" si="32"/>
        <v>6114.2999999999993</v>
      </c>
      <c r="S374" s="1" t="str">
        <f t="shared" si="33"/>
        <v>High</v>
      </c>
      <c r="T374" s="1" t="str">
        <f t="shared" si="34"/>
        <v>High</v>
      </c>
      <c r="U374" s="1" t="str">
        <f t="shared" si="35"/>
        <v>High</v>
      </c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30"/>
        <v>8255.5499999999993</v>
      </c>
      <c r="Q375" s="1">
        <f t="shared" si="31"/>
        <v>1651.11</v>
      </c>
      <c r="R375" s="11">
        <f t="shared" si="32"/>
        <v>6604.44</v>
      </c>
      <c r="S375" s="1" t="str">
        <f t="shared" si="33"/>
        <v>High</v>
      </c>
      <c r="T375" s="1" t="str">
        <f t="shared" si="34"/>
        <v>Medium</v>
      </c>
      <c r="U375" s="1" t="str">
        <f t="shared" si="35"/>
        <v>Medium</v>
      </c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30"/>
        <v>5994.54</v>
      </c>
      <c r="Q376" s="1">
        <f t="shared" si="31"/>
        <v>299.72700000000003</v>
      </c>
      <c r="R376" s="11">
        <f t="shared" si="32"/>
        <v>5694.8130000000001</v>
      </c>
      <c r="S376" s="1" t="str">
        <f t="shared" si="33"/>
        <v>Low</v>
      </c>
      <c r="T376" s="1" t="str">
        <f t="shared" si="34"/>
        <v>Low</v>
      </c>
      <c r="U376" s="1" t="str">
        <f t="shared" si="35"/>
        <v>Low</v>
      </c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30"/>
        <v>4088.16</v>
      </c>
      <c r="Q377" s="1">
        <f t="shared" si="31"/>
        <v>613.22399999999993</v>
      </c>
      <c r="R377" s="11">
        <f t="shared" si="32"/>
        <v>3474.9359999999997</v>
      </c>
      <c r="S377" s="1" t="str">
        <f t="shared" si="33"/>
        <v>High</v>
      </c>
      <c r="T377" s="1" t="str">
        <f t="shared" si="34"/>
        <v>High</v>
      </c>
      <c r="U377" s="1" t="str">
        <f t="shared" si="35"/>
        <v>High</v>
      </c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30"/>
        <v>3696</v>
      </c>
      <c r="Q378" s="1">
        <f t="shared" si="31"/>
        <v>184.8</v>
      </c>
      <c r="R378" s="11">
        <f t="shared" si="32"/>
        <v>3511.2</v>
      </c>
      <c r="S378" s="1" t="str">
        <f t="shared" si="33"/>
        <v>High</v>
      </c>
      <c r="T378" s="1" t="str">
        <f t="shared" si="34"/>
        <v>High</v>
      </c>
      <c r="U378" s="1" t="str">
        <f t="shared" si="35"/>
        <v>High</v>
      </c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30"/>
        <v>30099.87</v>
      </c>
      <c r="Q379" s="1">
        <f t="shared" si="31"/>
        <v>3009.9870000000001</v>
      </c>
      <c r="R379" s="11">
        <f t="shared" si="32"/>
        <v>27089.882999999998</v>
      </c>
      <c r="S379" s="1" t="str">
        <f t="shared" si="33"/>
        <v>High</v>
      </c>
      <c r="T379" s="1" t="str">
        <f t="shared" si="34"/>
        <v>High</v>
      </c>
      <c r="U379" s="1" t="str">
        <f t="shared" si="35"/>
        <v>High</v>
      </c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30"/>
        <v>3910.66</v>
      </c>
      <c r="Q380" s="1">
        <f t="shared" si="31"/>
        <v>195.53300000000002</v>
      </c>
      <c r="R380" s="11">
        <f t="shared" si="32"/>
        <v>3715.127</v>
      </c>
      <c r="S380" s="1" t="str">
        <f t="shared" si="33"/>
        <v>Low</v>
      </c>
      <c r="T380" s="1" t="str">
        <f t="shared" si="34"/>
        <v>Low</v>
      </c>
      <c r="U380" s="1" t="str">
        <f t="shared" si="35"/>
        <v>Low</v>
      </c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30"/>
        <v>5124.57</v>
      </c>
      <c r="Q381" s="1">
        <f t="shared" si="31"/>
        <v>512.45699999999999</v>
      </c>
      <c r="R381" s="11">
        <f t="shared" si="32"/>
        <v>4612.1129999999994</v>
      </c>
      <c r="S381" s="1" t="str">
        <f t="shared" si="33"/>
        <v>Low</v>
      </c>
      <c r="T381" s="1" t="str">
        <f t="shared" si="34"/>
        <v>Low</v>
      </c>
      <c r="U381" s="1" t="str">
        <f t="shared" si="35"/>
        <v>Low</v>
      </c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30"/>
        <v>1462.35</v>
      </c>
      <c r="Q382" s="1">
        <f t="shared" si="31"/>
        <v>73.117499999999993</v>
      </c>
      <c r="R382" s="11">
        <f t="shared" si="32"/>
        <v>1389.2324999999998</v>
      </c>
      <c r="S382" s="1" t="str">
        <f t="shared" si="33"/>
        <v>Low</v>
      </c>
      <c r="T382" s="1" t="str">
        <f t="shared" si="34"/>
        <v>Low</v>
      </c>
      <c r="U382" s="1" t="str">
        <f t="shared" si="35"/>
        <v>Low</v>
      </c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30"/>
        <v>3227.04</v>
      </c>
      <c r="Q383" s="1">
        <f t="shared" si="31"/>
        <v>322.70400000000001</v>
      </c>
      <c r="R383" s="11">
        <f t="shared" si="32"/>
        <v>2904.3359999999998</v>
      </c>
      <c r="S383" s="1" t="str">
        <f t="shared" si="33"/>
        <v>High</v>
      </c>
      <c r="T383" s="1" t="str">
        <f t="shared" si="34"/>
        <v>High</v>
      </c>
      <c r="U383" s="1" t="str">
        <f t="shared" si="35"/>
        <v>High</v>
      </c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30"/>
        <v>3581.58</v>
      </c>
      <c r="Q384" s="1">
        <f t="shared" si="31"/>
        <v>537.23699999999997</v>
      </c>
      <c r="R384" s="11">
        <f t="shared" si="32"/>
        <v>3044.3429999999998</v>
      </c>
      <c r="S384" s="1" t="str">
        <f t="shared" si="33"/>
        <v>Low</v>
      </c>
      <c r="T384" s="1" t="str">
        <f t="shared" si="34"/>
        <v>Low</v>
      </c>
      <c r="U384" s="1" t="str">
        <f t="shared" si="35"/>
        <v>Low</v>
      </c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30"/>
        <v>9678.4</v>
      </c>
      <c r="Q385" s="1">
        <f t="shared" si="31"/>
        <v>1935.68</v>
      </c>
      <c r="R385" s="11">
        <f t="shared" si="32"/>
        <v>7742.7199999999993</v>
      </c>
      <c r="S385" s="1" t="str">
        <f t="shared" si="33"/>
        <v>High</v>
      </c>
      <c r="T385" s="1" t="str">
        <f t="shared" si="34"/>
        <v>Medium</v>
      </c>
      <c r="U385" s="1" t="str">
        <f t="shared" si="35"/>
        <v>Medium</v>
      </c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30"/>
        <v>4146.33</v>
      </c>
      <c r="Q386" s="1">
        <f t="shared" si="31"/>
        <v>414.63300000000004</v>
      </c>
      <c r="R386" s="11">
        <f t="shared" si="32"/>
        <v>3731.6970000000001</v>
      </c>
      <c r="S386" s="1" t="str">
        <f t="shared" si="33"/>
        <v>Low</v>
      </c>
      <c r="T386" s="1" t="str">
        <f t="shared" si="34"/>
        <v>Low</v>
      </c>
      <c r="U386" s="1" t="str">
        <f t="shared" si="35"/>
        <v>Low</v>
      </c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36">L387*M387</f>
        <v>3968.76</v>
      </c>
      <c r="Q387" s="1">
        <f t="shared" ref="Q387:Q450" si="37">P387*N387%</f>
        <v>396.87600000000003</v>
      </c>
      <c r="R387" s="11">
        <f t="shared" ref="R387:R450" si="38">P387-Q387</f>
        <v>3571.884</v>
      </c>
      <c r="S387" s="1" t="str">
        <f t="shared" ref="S387:S450" si="39">IF(L387&gt;=5,"High","Low")</f>
        <v>Low</v>
      </c>
      <c r="T387" s="1" t="str">
        <f t="shared" ref="T387:T450" si="40">IF(L387&gt;5,"High",IF(L387=5,"Medium","Low"))</f>
        <v>Low</v>
      </c>
      <c r="U387" s="1" t="str">
        <f t="shared" ref="U387:U450" si="41">IF(L387&gt;5,"High",IF(L387=5,"Medium","Low"))</f>
        <v>Low</v>
      </c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36"/>
        <v>11003.76</v>
      </c>
      <c r="Q388" s="1">
        <f t="shared" si="37"/>
        <v>1650.5640000000001</v>
      </c>
      <c r="R388" s="11">
        <f t="shared" si="38"/>
        <v>9353.1959999999999</v>
      </c>
      <c r="S388" s="1" t="str">
        <f t="shared" si="39"/>
        <v>High</v>
      </c>
      <c r="T388" s="1" t="str">
        <f t="shared" si="40"/>
        <v>High</v>
      </c>
      <c r="U388" s="1" t="str">
        <f t="shared" si="41"/>
        <v>High</v>
      </c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36"/>
        <v>6098.37</v>
      </c>
      <c r="Q389" s="1">
        <f t="shared" si="37"/>
        <v>609.83699999999999</v>
      </c>
      <c r="R389" s="11">
        <f t="shared" si="38"/>
        <v>5488.5329999999994</v>
      </c>
      <c r="S389" s="1" t="str">
        <f t="shared" si="39"/>
        <v>Low</v>
      </c>
      <c r="T389" s="1" t="str">
        <f t="shared" si="40"/>
        <v>Low</v>
      </c>
      <c r="U389" s="1" t="str">
        <f t="shared" si="41"/>
        <v>Low</v>
      </c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36"/>
        <v>24215.03</v>
      </c>
      <c r="Q390" s="1">
        <f t="shared" si="37"/>
        <v>0</v>
      </c>
      <c r="R390" s="11">
        <f t="shared" si="38"/>
        <v>24215.03</v>
      </c>
      <c r="S390" s="1" t="str">
        <f t="shared" si="39"/>
        <v>High</v>
      </c>
      <c r="T390" s="1" t="str">
        <f t="shared" si="40"/>
        <v>High</v>
      </c>
      <c r="U390" s="1" t="str">
        <f t="shared" si="41"/>
        <v>High</v>
      </c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36"/>
        <v>2430.36</v>
      </c>
      <c r="Q391" s="1">
        <f t="shared" si="37"/>
        <v>364.55400000000003</v>
      </c>
      <c r="R391" s="11">
        <f t="shared" si="38"/>
        <v>2065.806</v>
      </c>
      <c r="S391" s="1" t="str">
        <f t="shared" si="39"/>
        <v>Low</v>
      </c>
      <c r="T391" s="1" t="str">
        <f t="shared" si="40"/>
        <v>Low</v>
      </c>
      <c r="U391" s="1" t="str">
        <f t="shared" si="41"/>
        <v>Low</v>
      </c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36"/>
        <v>16946.52</v>
      </c>
      <c r="Q392" s="1">
        <f t="shared" si="37"/>
        <v>0</v>
      </c>
      <c r="R392" s="11">
        <f t="shared" si="38"/>
        <v>16946.52</v>
      </c>
      <c r="S392" s="1" t="str">
        <f t="shared" si="39"/>
        <v>High</v>
      </c>
      <c r="T392" s="1" t="str">
        <f t="shared" si="40"/>
        <v>High</v>
      </c>
      <c r="U392" s="1" t="str">
        <f t="shared" si="41"/>
        <v>High</v>
      </c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36"/>
        <v>4661.9400000000005</v>
      </c>
      <c r="Q393" s="1">
        <f t="shared" si="37"/>
        <v>699.29100000000005</v>
      </c>
      <c r="R393" s="11">
        <f t="shared" si="38"/>
        <v>3962.6490000000003</v>
      </c>
      <c r="S393" s="1" t="str">
        <f t="shared" si="39"/>
        <v>Low</v>
      </c>
      <c r="T393" s="1" t="str">
        <f t="shared" si="40"/>
        <v>Low</v>
      </c>
      <c r="U393" s="1" t="str">
        <f t="shared" si="41"/>
        <v>Low</v>
      </c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36"/>
        <v>23946</v>
      </c>
      <c r="Q394" s="1">
        <f t="shared" si="37"/>
        <v>2394.6</v>
      </c>
      <c r="R394" s="11">
        <f t="shared" si="38"/>
        <v>21551.4</v>
      </c>
      <c r="S394" s="1" t="str">
        <f t="shared" si="39"/>
        <v>High</v>
      </c>
      <c r="T394" s="1" t="str">
        <f t="shared" si="40"/>
        <v>High</v>
      </c>
      <c r="U394" s="1" t="str">
        <f t="shared" si="41"/>
        <v>High</v>
      </c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36"/>
        <v>16298.880000000001</v>
      </c>
      <c r="Q395" s="1">
        <f t="shared" si="37"/>
        <v>0</v>
      </c>
      <c r="R395" s="11">
        <f t="shared" si="38"/>
        <v>16298.880000000001</v>
      </c>
      <c r="S395" s="1" t="str">
        <f t="shared" si="39"/>
        <v>High</v>
      </c>
      <c r="T395" s="1" t="str">
        <f t="shared" si="40"/>
        <v>High</v>
      </c>
      <c r="U395" s="1" t="str">
        <f t="shared" si="41"/>
        <v>High</v>
      </c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36"/>
        <v>1220.6199999999999</v>
      </c>
      <c r="Q396" s="1">
        <f t="shared" si="37"/>
        <v>122.062</v>
      </c>
      <c r="R396" s="11">
        <f t="shared" si="38"/>
        <v>1098.558</v>
      </c>
      <c r="S396" s="1" t="str">
        <f t="shared" si="39"/>
        <v>Low</v>
      </c>
      <c r="T396" s="1" t="str">
        <f t="shared" si="40"/>
        <v>Low</v>
      </c>
      <c r="U396" s="1" t="str">
        <f t="shared" si="41"/>
        <v>Low</v>
      </c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36"/>
        <v>14128.02</v>
      </c>
      <c r="Q397" s="1">
        <f t="shared" si="37"/>
        <v>2119.203</v>
      </c>
      <c r="R397" s="11">
        <f t="shared" si="38"/>
        <v>12008.817000000001</v>
      </c>
      <c r="S397" s="1" t="str">
        <f t="shared" si="39"/>
        <v>High</v>
      </c>
      <c r="T397" s="1" t="str">
        <f t="shared" si="40"/>
        <v>High</v>
      </c>
      <c r="U397" s="1" t="str">
        <f t="shared" si="41"/>
        <v>High</v>
      </c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36"/>
        <v>7969.22</v>
      </c>
      <c r="Q398" s="1">
        <f t="shared" si="37"/>
        <v>796.92200000000003</v>
      </c>
      <c r="R398" s="11">
        <f t="shared" si="38"/>
        <v>7172.2980000000007</v>
      </c>
      <c r="S398" s="1" t="str">
        <f t="shared" si="39"/>
        <v>High</v>
      </c>
      <c r="T398" s="1" t="str">
        <f t="shared" si="40"/>
        <v>High</v>
      </c>
      <c r="U398" s="1" t="str">
        <f t="shared" si="41"/>
        <v>High</v>
      </c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36"/>
        <v>16228.85</v>
      </c>
      <c r="Q399" s="1">
        <f t="shared" si="37"/>
        <v>0</v>
      </c>
      <c r="R399" s="11">
        <f t="shared" si="38"/>
        <v>16228.85</v>
      </c>
      <c r="S399" s="1" t="str">
        <f t="shared" si="39"/>
        <v>High</v>
      </c>
      <c r="T399" s="1" t="str">
        <f t="shared" si="40"/>
        <v>Medium</v>
      </c>
      <c r="U399" s="1" t="str">
        <f t="shared" si="41"/>
        <v>Medium</v>
      </c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36"/>
        <v>5369.58</v>
      </c>
      <c r="Q400" s="1">
        <f t="shared" si="37"/>
        <v>0</v>
      </c>
      <c r="R400" s="11">
        <f t="shared" si="38"/>
        <v>5369.58</v>
      </c>
      <c r="S400" s="1" t="str">
        <f t="shared" si="39"/>
        <v>Low</v>
      </c>
      <c r="T400" s="1" t="str">
        <f t="shared" si="40"/>
        <v>Low</v>
      </c>
      <c r="U400" s="1" t="str">
        <f t="shared" si="41"/>
        <v>Low</v>
      </c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36"/>
        <v>15918.12</v>
      </c>
      <c r="Q401" s="1">
        <f t="shared" si="37"/>
        <v>1591.8120000000001</v>
      </c>
      <c r="R401" s="11">
        <f t="shared" si="38"/>
        <v>14326.308000000001</v>
      </c>
      <c r="S401" s="1" t="str">
        <f t="shared" si="39"/>
        <v>Low</v>
      </c>
      <c r="T401" s="1" t="str">
        <f t="shared" si="40"/>
        <v>Low</v>
      </c>
      <c r="U401" s="1" t="str">
        <f t="shared" si="41"/>
        <v>Low</v>
      </c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36"/>
        <v>2024.52</v>
      </c>
      <c r="Q402" s="1">
        <f t="shared" si="37"/>
        <v>101.226</v>
      </c>
      <c r="R402" s="11">
        <f t="shared" si="38"/>
        <v>1923.2939999999999</v>
      </c>
      <c r="S402" s="1" t="str">
        <f t="shared" si="39"/>
        <v>Low</v>
      </c>
      <c r="T402" s="1" t="str">
        <f t="shared" si="40"/>
        <v>Low</v>
      </c>
      <c r="U402" s="1" t="str">
        <f t="shared" si="41"/>
        <v>Low</v>
      </c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36"/>
        <v>18926.04</v>
      </c>
      <c r="Q403" s="1">
        <f t="shared" si="37"/>
        <v>2838.9059999999999</v>
      </c>
      <c r="R403" s="11">
        <f t="shared" si="38"/>
        <v>16087.134000000002</v>
      </c>
      <c r="S403" s="1" t="str">
        <f t="shared" si="39"/>
        <v>High</v>
      </c>
      <c r="T403" s="1" t="str">
        <f t="shared" si="40"/>
        <v>High</v>
      </c>
      <c r="U403" s="1" t="str">
        <f t="shared" si="41"/>
        <v>High</v>
      </c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36"/>
        <v>2743.75</v>
      </c>
      <c r="Q404" s="1">
        <f t="shared" si="37"/>
        <v>411.5625</v>
      </c>
      <c r="R404" s="11">
        <f t="shared" si="38"/>
        <v>2332.1875</v>
      </c>
      <c r="S404" s="1" t="str">
        <f t="shared" si="39"/>
        <v>Low</v>
      </c>
      <c r="T404" s="1" t="str">
        <f t="shared" si="40"/>
        <v>Low</v>
      </c>
      <c r="U404" s="1" t="str">
        <f t="shared" si="41"/>
        <v>Low</v>
      </c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36"/>
        <v>12419.48</v>
      </c>
      <c r="Q405" s="1">
        <f t="shared" si="37"/>
        <v>1241.9480000000001</v>
      </c>
      <c r="R405" s="11">
        <f t="shared" si="38"/>
        <v>11177.531999999999</v>
      </c>
      <c r="S405" s="1" t="str">
        <f t="shared" si="39"/>
        <v>Low</v>
      </c>
      <c r="T405" s="1" t="str">
        <f t="shared" si="40"/>
        <v>Low</v>
      </c>
      <c r="U405" s="1" t="str">
        <f t="shared" si="41"/>
        <v>Low</v>
      </c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36"/>
        <v>5335.96</v>
      </c>
      <c r="Q406" s="1">
        <f t="shared" si="37"/>
        <v>266.798</v>
      </c>
      <c r="R406" s="11">
        <f t="shared" si="38"/>
        <v>5069.1620000000003</v>
      </c>
      <c r="S406" s="1" t="str">
        <f t="shared" si="39"/>
        <v>Low</v>
      </c>
      <c r="T406" s="1" t="str">
        <f t="shared" si="40"/>
        <v>Low</v>
      </c>
      <c r="U406" s="1" t="str">
        <f t="shared" si="41"/>
        <v>Low</v>
      </c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36"/>
        <v>2044.41</v>
      </c>
      <c r="Q407" s="1">
        <f t="shared" si="37"/>
        <v>0</v>
      </c>
      <c r="R407" s="11">
        <f t="shared" si="38"/>
        <v>2044.41</v>
      </c>
      <c r="S407" s="1" t="str">
        <f t="shared" si="39"/>
        <v>Low</v>
      </c>
      <c r="T407" s="1" t="str">
        <f t="shared" si="40"/>
        <v>Low</v>
      </c>
      <c r="U407" s="1" t="str">
        <f t="shared" si="41"/>
        <v>Low</v>
      </c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36"/>
        <v>28949.040000000001</v>
      </c>
      <c r="Q408" s="1">
        <f t="shared" si="37"/>
        <v>5789.8080000000009</v>
      </c>
      <c r="R408" s="11">
        <f t="shared" si="38"/>
        <v>23159.232</v>
      </c>
      <c r="S408" s="1" t="str">
        <f t="shared" si="39"/>
        <v>High</v>
      </c>
      <c r="T408" s="1" t="str">
        <f t="shared" si="40"/>
        <v>High</v>
      </c>
      <c r="U408" s="1" t="str">
        <f t="shared" si="41"/>
        <v>High</v>
      </c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36"/>
        <v>4181.12</v>
      </c>
      <c r="Q409" s="1">
        <f t="shared" si="37"/>
        <v>836.22400000000005</v>
      </c>
      <c r="R409" s="11">
        <f t="shared" si="38"/>
        <v>3344.8959999999997</v>
      </c>
      <c r="S409" s="1" t="str">
        <f t="shared" si="39"/>
        <v>Low</v>
      </c>
      <c r="T409" s="1" t="str">
        <f t="shared" si="40"/>
        <v>Low</v>
      </c>
      <c r="U409" s="1" t="str">
        <f t="shared" si="41"/>
        <v>Low</v>
      </c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36"/>
        <v>7141.6100000000006</v>
      </c>
      <c r="Q410" s="1">
        <f t="shared" si="37"/>
        <v>714.16100000000006</v>
      </c>
      <c r="R410" s="11">
        <f t="shared" si="38"/>
        <v>6427.4490000000005</v>
      </c>
      <c r="S410" s="1" t="str">
        <f t="shared" si="39"/>
        <v>High</v>
      </c>
      <c r="T410" s="1" t="str">
        <f t="shared" si="40"/>
        <v>High</v>
      </c>
      <c r="U410" s="1" t="str">
        <f t="shared" si="41"/>
        <v>High</v>
      </c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36"/>
        <v>6814.6500000000005</v>
      </c>
      <c r="Q411" s="1">
        <f t="shared" si="37"/>
        <v>340.73250000000007</v>
      </c>
      <c r="R411" s="11">
        <f t="shared" si="38"/>
        <v>6473.9175000000005</v>
      </c>
      <c r="S411" s="1" t="str">
        <f t="shared" si="39"/>
        <v>Low</v>
      </c>
      <c r="T411" s="1" t="str">
        <f t="shared" si="40"/>
        <v>Low</v>
      </c>
      <c r="U411" s="1" t="str">
        <f t="shared" si="41"/>
        <v>Low</v>
      </c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36"/>
        <v>6497.16</v>
      </c>
      <c r="Q412" s="1">
        <f t="shared" si="37"/>
        <v>324.858</v>
      </c>
      <c r="R412" s="11">
        <f t="shared" si="38"/>
        <v>6172.3019999999997</v>
      </c>
      <c r="S412" s="1" t="str">
        <f t="shared" si="39"/>
        <v>Low</v>
      </c>
      <c r="T412" s="1" t="str">
        <f t="shared" si="40"/>
        <v>Low</v>
      </c>
      <c r="U412" s="1" t="str">
        <f t="shared" si="41"/>
        <v>Low</v>
      </c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36"/>
        <v>9893.68</v>
      </c>
      <c r="Q413" s="1">
        <f t="shared" si="37"/>
        <v>1484.0519999999999</v>
      </c>
      <c r="R413" s="11">
        <f t="shared" si="38"/>
        <v>8409.6280000000006</v>
      </c>
      <c r="S413" s="1" t="str">
        <f t="shared" si="39"/>
        <v>High</v>
      </c>
      <c r="T413" s="1" t="str">
        <f t="shared" si="40"/>
        <v>High</v>
      </c>
      <c r="U413" s="1" t="str">
        <f t="shared" si="41"/>
        <v>High</v>
      </c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36"/>
        <v>10380.719999999999</v>
      </c>
      <c r="Q414" s="1">
        <f t="shared" si="37"/>
        <v>0</v>
      </c>
      <c r="R414" s="11">
        <f t="shared" si="38"/>
        <v>10380.719999999999</v>
      </c>
      <c r="S414" s="1" t="str">
        <f t="shared" si="39"/>
        <v>High</v>
      </c>
      <c r="T414" s="1" t="str">
        <f t="shared" si="40"/>
        <v>High</v>
      </c>
      <c r="U414" s="1" t="str">
        <f t="shared" si="41"/>
        <v>High</v>
      </c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36"/>
        <v>1219.7</v>
      </c>
      <c r="Q415" s="1">
        <f t="shared" si="37"/>
        <v>60.985000000000007</v>
      </c>
      <c r="R415" s="11">
        <f t="shared" si="38"/>
        <v>1158.7150000000001</v>
      </c>
      <c r="S415" s="1" t="str">
        <f t="shared" si="39"/>
        <v>Low</v>
      </c>
      <c r="T415" s="1" t="str">
        <f t="shared" si="40"/>
        <v>Low</v>
      </c>
      <c r="U415" s="1" t="str">
        <f t="shared" si="41"/>
        <v>Low</v>
      </c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36"/>
        <v>6240.64</v>
      </c>
      <c r="Q416" s="1">
        <f t="shared" si="37"/>
        <v>1248.1280000000002</v>
      </c>
      <c r="R416" s="11">
        <f t="shared" si="38"/>
        <v>4992.5120000000006</v>
      </c>
      <c r="S416" s="1" t="str">
        <f t="shared" si="39"/>
        <v>Low</v>
      </c>
      <c r="T416" s="1" t="str">
        <f t="shared" si="40"/>
        <v>Low</v>
      </c>
      <c r="U416" s="1" t="str">
        <f t="shared" si="41"/>
        <v>Low</v>
      </c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36"/>
        <v>21278.560000000001</v>
      </c>
      <c r="Q417" s="1">
        <f t="shared" si="37"/>
        <v>0</v>
      </c>
      <c r="R417" s="11">
        <f t="shared" si="38"/>
        <v>21278.560000000001</v>
      </c>
      <c r="S417" s="1" t="str">
        <f t="shared" si="39"/>
        <v>High</v>
      </c>
      <c r="T417" s="1" t="str">
        <f t="shared" si="40"/>
        <v>High</v>
      </c>
      <c r="U417" s="1" t="str">
        <f t="shared" si="41"/>
        <v>High</v>
      </c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36"/>
        <v>3354.81</v>
      </c>
      <c r="Q418" s="1">
        <f t="shared" si="37"/>
        <v>0</v>
      </c>
      <c r="R418" s="11">
        <f t="shared" si="38"/>
        <v>3354.81</v>
      </c>
      <c r="S418" s="1" t="str">
        <f t="shared" si="39"/>
        <v>Low</v>
      </c>
      <c r="T418" s="1" t="str">
        <f t="shared" si="40"/>
        <v>Low</v>
      </c>
      <c r="U418" s="1" t="str">
        <f t="shared" si="41"/>
        <v>Low</v>
      </c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36"/>
        <v>31244.560000000001</v>
      </c>
      <c r="Q419" s="1">
        <f t="shared" si="37"/>
        <v>3124.4560000000001</v>
      </c>
      <c r="R419" s="11">
        <f t="shared" si="38"/>
        <v>28120.103999999999</v>
      </c>
      <c r="S419" s="1" t="str">
        <f t="shared" si="39"/>
        <v>High</v>
      </c>
      <c r="T419" s="1" t="str">
        <f t="shared" si="40"/>
        <v>High</v>
      </c>
      <c r="U419" s="1" t="str">
        <f t="shared" si="41"/>
        <v>High</v>
      </c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36"/>
        <v>15804.24</v>
      </c>
      <c r="Q420" s="1">
        <f t="shared" si="37"/>
        <v>790.21199999999999</v>
      </c>
      <c r="R420" s="11">
        <f t="shared" si="38"/>
        <v>15014.028</v>
      </c>
      <c r="S420" s="1" t="str">
        <f t="shared" si="39"/>
        <v>High</v>
      </c>
      <c r="T420" s="1" t="str">
        <f t="shared" si="40"/>
        <v>High</v>
      </c>
      <c r="U420" s="1" t="str">
        <f t="shared" si="41"/>
        <v>High</v>
      </c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36"/>
        <v>813.54</v>
      </c>
      <c r="Q421" s="1">
        <f t="shared" si="37"/>
        <v>81.353999999999999</v>
      </c>
      <c r="R421" s="11">
        <f t="shared" si="38"/>
        <v>732.18599999999992</v>
      </c>
      <c r="S421" s="1" t="str">
        <f t="shared" si="39"/>
        <v>Low</v>
      </c>
      <c r="T421" s="1" t="str">
        <f t="shared" si="40"/>
        <v>Low</v>
      </c>
      <c r="U421" s="1" t="str">
        <f t="shared" si="41"/>
        <v>Low</v>
      </c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36"/>
        <v>1340.64</v>
      </c>
      <c r="Q422" s="1">
        <f t="shared" si="37"/>
        <v>67.032000000000011</v>
      </c>
      <c r="R422" s="11">
        <f t="shared" si="38"/>
        <v>1273.6080000000002</v>
      </c>
      <c r="S422" s="1" t="str">
        <f t="shared" si="39"/>
        <v>Low</v>
      </c>
      <c r="T422" s="1" t="str">
        <f t="shared" si="40"/>
        <v>Low</v>
      </c>
      <c r="U422" s="1" t="str">
        <f t="shared" si="41"/>
        <v>Low</v>
      </c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36"/>
        <v>7729.86</v>
      </c>
      <c r="Q423" s="1">
        <f t="shared" si="37"/>
        <v>1159.4789999999998</v>
      </c>
      <c r="R423" s="11">
        <f t="shared" si="38"/>
        <v>6570.3809999999994</v>
      </c>
      <c r="S423" s="1" t="str">
        <f t="shared" si="39"/>
        <v>High</v>
      </c>
      <c r="T423" s="1" t="str">
        <f t="shared" si="40"/>
        <v>High</v>
      </c>
      <c r="U423" s="1" t="str">
        <f t="shared" si="41"/>
        <v>High</v>
      </c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36"/>
        <v>33662.700000000004</v>
      </c>
      <c r="Q424" s="1">
        <f t="shared" si="37"/>
        <v>3366.2700000000004</v>
      </c>
      <c r="R424" s="11">
        <f t="shared" si="38"/>
        <v>30296.430000000004</v>
      </c>
      <c r="S424" s="1" t="str">
        <f t="shared" si="39"/>
        <v>High</v>
      </c>
      <c r="T424" s="1" t="str">
        <f t="shared" si="40"/>
        <v>High</v>
      </c>
      <c r="U424" s="1" t="str">
        <f t="shared" si="41"/>
        <v>High</v>
      </c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36"/>
        <v>17314.96</v>
      </c>
      <c r="Q425" s="1">
        <f t="shared" si="37"/>
        <v>1731.4960000000001</v>
      </c>
      <c r="R425" s="11">
        <f t="shared" si="38"/>
        <v>15583.464</v>
      </c>
      <c r="S425" s="1" t="str">
        <f t="shared" si="39"/>
        <v>High</v>
      </c>
      <c r="T425" s="1" t="str">
        <f t="shared" si="40"/>
        <v>High</v>
      </c>
      <c r="U425" s="1" t="str">
        <f t="shared" si="41"/>
        <v>High</v>
      </c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36"/>
        <v>9571.0400000000009</v>
      </c>
      <c r="Q426" s="1">
        <f t="shared" si="37"/>
        <v>1914.2080000000003</v>
      </c>
      <c r="R426" s="11">
        <f t="shared" si="38"/>
        <v>7656.8320000000003</v>
      </c>
      <c r="S426" s="1" t="str">
        <f t="shared" si="39"/>
        <v>High</v>
      </c>
      <c r="T426" s="1" t="str">
        <f t="shared" si="40"/>
        <v>High</v>
      </c>
      <c r="U426" s="1" t="str">
        <f t="shared" si="41"/>
        <v>High</v>
      </c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36"/>
        <v>11807.529999999999</v>
      </c>
      <c r="Q427" s="1">
        <f t="shared" si="37"/>
        <v>1180.7529999999999</v>
      </c>
      <c r="R427" s="11">
        <f t="shared" si="38"/>
        <v>10626.776999999998</v>
      </c>
      <c r="S427" s="1" t="str">
        <f t="shared" si="39"/>
        <v>High</v>
      </c>
      <c r="T427" s="1" t="str">
        <f t="shared" si="40"/>
        <v>High</v>
      </c>
      <c r="U427" s="1" t="str">
        <f t="shared" si="41"/>
        <v>High</v>
      </c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36"/>
        <v>22091.31</v>
      </c>
      <c r="Q428" s="1">
        <f t="shared" si="37"/>
        <v>1104.5655000000002</v>
      </c>
      <c r="R428" s="11">
        <f t="shared" si="38"/>
        <v>20986.744500000001</v>
      </c>
      <c r="S428" s="1" t="str">
        <f t="shared" si="39"/>
        <v>High</v>
      </c>
      <c r="T428" s="1" t="str">
        <f t="shared" si="40"/>
        <v>High</v>
      </c>
      <c r="U428" s="1" t="str">
        <f t="shared" si="41"/>
        <v>High</v>
      </c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36"/>
        <v>5327.72</v>
      </c>
      <c r="Q429" s="1">
        <f t="shared" si="37"/>
        <v>1065.5440000000001</v>
      </c>
      <c r="R429" s="11">
        <f t="shared" si="38"/>
        <v>4262.1760000000004</v>
      </c>
      <c r="S429" s="1" t="str">
        <f t="shared" si="39"/>
        <v>Low</v>
      </c>
      <c r="T429" s="1" t="str">
        <f t="shared" si="40"/>
        <v>Low</v>
      </c>
      <c r="U429" s="1" t="str">
        <f t="shared" si="41"/>
        <v>Low</v>
      </c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36"/>
        <v>2227.77</v>
      </c>
      <c r="Q430" s="1">
        <f t="shared" si="37"/>
        <v>222.77700000000002</v>
      </c>
      <c r="R430" s="11">
        <f t="shared" si="38"/>
        <v>2004.9929999999999</v>
      </c>
      <c r="S430" s="1" t="str">
        <f t="shared" si="39"/>
        <v>Low</v>
      </c>
      <c r="T430" s="1" t="str">
        <f t="shared" si="40"/>
        <v>Low</v>
      </c>
      <c r="U430" s="1" t="str">
        <f t="shared" si="41"/>
        <v>Low</v>
      </c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36"/>
        <v>31292.560000000001</v>
      </c>
      <c r="Q431" s="1">
        <f t="shared" si="37"/>
        <v>3129.2560000000003</v>
      </c>
      <c r="R431" s="11">
        <f t="shared" si="38"/>
        <v>28163.304</v>
      </c>
      <c r="S431" s="1" t="str">
        <f t="shared" si="39"/>
        <v>High</v>
      </c>
      <c r="T431" s="1" t="str">
        <f t="shared" si="40"/>
        <v>High</v>
      </c>
      <c r="U431" s="1" t="str">
        <f t="shared" si="41"/>
        <v>High</v>
      </c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36"/>
        <v>13484.22</v>
      </c>
      <c r="Q432" s="1">
        <f t="shared" si="37"/>
        <v>2022.6329999999998</v>
      </c>
      <c r="R432" s="11">
        <f t="shared" si="38"/>
        <v>11461.587</v>
      </c>
      <c r="S432" s="1" t="str">
        <f t="shared" si="39"/>
        <v>High</v>
      </c>
      <c r="T432" s="1" t="str">
        <f t="shared" si="40"/>
        <v>High</v>
      </c>
      <c r="U432" s="1" t="str">
        <f t="shared" si="41"/>
        <v>High</v>
      </c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36"/>
        <v>6051.5999999999995</v>
      </c>
      <c r="Q433" s="1">
        <f t="shared" si="37"/>
        <v>605.16</v>
      </c>
      <c r="R433" s="11">
        <f t="shared" si="38"/>
        <v>5446.44</v>
      </c>
      <c r="S433" s="1" t="str">
        <f t="shared" si="39"/>
        <v>High</v>
      </c>
      <c r="T433" s="1" t="str">
        <f t="shared" si="40"/>
        <v>High</v>
      </c>
      <c r="U433" s="1" t="str">
        <f t="shared" si="41"/>
        <v>High</v>
      </c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36"/>
        <v>14362</v>
      </c>
      <c r="Q434" s="1">
        <f t="shared" si="37"/>
        <v>0</v>
      </c>
      <c r="R434" s="11">
        <f t="shared" si="38"/>
        <v>14362</v>
      </c>
      <c r="S434" s="1" t="str">
        <f t="shared" si="39"/>
        <v>Low</v>
      </c>
      <c r="T434" s="1" t="str">
        <f t="shared" si="40"/>
        <v>Low</v>
      </c>
      <c r="U434" s="1" t="str">
        <f t="shared" si="41"/>
        <v>Low</v>
      </c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36"/>
        <v>3498.88</v>
      </c>
      <c r="Q435" s="1">
        <f t="shared" si="37"/>
        <v>699.77600000000007</v>
      </c>
      <c r="R435" s="11">
        <f t="shared" si="38"/>
        <v>2799.1040000000003</v>
      </c>
      <c r="S435" s="1" t="str">
        <f t="shared" si="39"/>
        <v>High</v>
      </c>
      <c r="T435" s="1" t="str">
        <f t="shared" si="40"/>
        <v>High</v>
      </c>
      <c r="U435" s="1" t="str">
        <f t="shared" si="41"/>
        <v>High</v>
      </c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36"/>
        <v>10934.34</v>
      </c>
      <c r="Q436" s="1">
        <f t="shared" si="37"/>
        <v>0</v>
      </c>
      <c r="R436" s="11">
        <f t="shared" si="38"/>
        <v>10934.34</v>
      </c>
      <c r="S436" s="1" t="str">
        <f t="shared" si="39"/>
        <v>Low</v>
      </c>
      <c r="T436" s="1" t="str">
        <f t="shared" si="40"/>
        <v>Low</v>
      </c>
      <c r="U436" s="1" t="str">
        <f t="shared" si="41"/>
        <v>Low</v>
      </c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36"/>
        <v>11960.34</v>
      </c>
      <c r="Q437" s="1">
        <f t="shared" si="37"/>
        <v>2392.0680000000002</v>
      </c>
      <c r="R437" s="11">
        <f t="shared" si="38"/>
        <v>9568.2720000000008</v>
      </c>
      <c r="S437" s="1" t="str">
        <f t="shared" si="39"/>
        <v>Low</v>
      </c>
      <c r="T437" s="1" t="str">
        <f t="shared" si="40"/>
        <v>Low</v>
      </c>
      <c r="U437" s="1" t="str">
        <f t="shared" si="41"/>
        <v>Low</v>
      </c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36"/>
        <v>22773.279999999999</v>
      </c>
      <c r="Q438" s="1">
        <f t="shared" si="37"/>
        <v>3415.9919999999997</v>
      </c>
      <c r="R438" s="11">
        <f t="shared" si="38"/>
        <v>19357.288</v>
      </c>
      <c r="S438" s="1" t="str">
        <f t="shared" si="39"/>
        <v>High</v>
      </c>
      <c r="T438" s="1" t="str">
        <f t="shared" si="40"/>
        <v>High</v>
      </c>
      <c r="U438" s="1" t="str">
        <f t="shared" si="41"/>
        <v>High</v>
      </c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36"/>
        <v>15581.099999999999</v>
      </c>
      <c r="Q439" s="1">
        <f t="shared" si="37"/>
        <v>1558.11</v>
      </c>
      <c r="R439" s="11">
        <f t="shared" si="38"/>
        <v>14022.989999999998</v>
      </c>
      <c r="S439" s="1" t="str">
        <f t="shared" si="39"/>
        <v>High</v>
      </c>
      <c r="T439" s="1" t="str">
        <f t="shared" si="40"/>
        <v>Medium</v>
      </c>
      <c r="U439" s="1" t="str">
        <f t="shared" si="41"/>
        <v>Medium</v>
      </c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36"/>
        <v>4345.8599999999997</v>
      </c>
      <c r="Q440" s="1">
        <f t="shared" si="37"/>
        <v>434.58600000000001</v>
      </c>
      <c r="R440" s="11">
        <f t="shared" si="38"/>
        <v>3911.2739999999994</v>
      </c>
      <c r="S440" s="1" t="str">
        <f t="shared" si="39"/>
        <v>Low</v>
      </c>
      <c r="T440" s="1" t="str">
        <f t="shared" si="40"/>
        <v>Low</v>
      </c>
      <c r="U440" s="1" t="str">
        <f t="shared" si="41"/>
        <v>Low</v>
      </c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36"/>
        <v>3775.07</v>
      </c>
      <c r="Q441" s="1">
        <f t="shared" si="37"/>
        <v>377.50700000000006</v>
      </c>
      <c r="R441" s="11">
        <f t="shared" si="38"/>
        <v>3397.5630000000001</v>
      </c>
      <c r="S441" s="1" t="str">
        <f t="shared" si="39"/>
        <v>Low</v>
      </c>
      <c r="T441" s="1" t="str">
        <f t="shared" si="40"/>
        <v>Low</v>
      </c>
      <c r="U441" s="1" t="str">
        <f t="shared" si="41"/>
        <v>Low</v>
      </c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36"/>
        <v>6568.2000000000007</v>
      </c>
      <c r="Q442" s="1">
        <f t="shared" si="37"/>
        <v>1313.6400000000003</v>
      </c>
      <c r="R442" s="11">
        <f t="shared" si="38"/>
        <v>5254.56</v>
      </c>
      <c r="S442" s="1" t="str">
        <f t="shared" si="39"/>
        <v>Low</v>
      </c>
      <c r="T442" s="1" t="str">
        <f t="shared" si="40"/>
        <v>Low</v>
      </c>
      <c r="U442" s="1" t="str">
        <f t="shared" si="41"/>
        <v>Low</v>
      </c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36"/>
        <v>26727.3</v>
      </c>
      <c r="Q443" s="1">
        <f t="shared" si="37"/>
        <v>2672.73</v>
      </c>
      <c r="R443" s="11">
        <f t="shared" si="38"/>
        <v>24054.57</v>
      </c>
      <c r="S443" s="1" t="str">
        <f t="shared" si="39"/>
        <v>High</v>
      </c>
      <c r="T443" s="1" t="str">
        <f t="shared" si="40"/>
        <v>High</v>
      </c>
      <c r="U443" s="1" t="str">
        <f t="shared" si="41"/>
        <v>High</v>
      </c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36"/>
        <v>18539.05</v>
      </c>
      <c r="Q444" s="1">
        <f t="shared" si="37"/>
        <v>0</v>
      </c>
      <c r="R444" s="11">
        <f t="shared" si="38"/>
        <v>18539.05</v>
      </c>
      <c r="S444" s="1" t="str">
        <f t="shared" si="39"/>
        <v>High</v>
      </c>
      <c r="T444" s="1" t="str">
        <f t="shared" si="40"/>
        <v>Medium</v>
      </c>
      <c r="U444" s="1" t="str">
        <f t="shared" si="41"/>
        <v>Medium</v>
      </c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36"/>
        <v>7808.88</v>
      </c>
      <c r="Q445" s="1">
        <f t="shared" si="37"/>
        <v>780.88800000000003</v>
      </c>
      <c r="R445" s="11">
        <f t="shared" si="38"/>
        <v>7027.9920000000002</v>
      </c>
      <c r="S445" s="1" t="str">
        <f t="shared" si="39"/>
        <v>Low</v>
      </c>
      <c r="T445" s="1" t="str">
        <f t="shared" si="40"/>
        <v>Low</v>
      </c>
      <c r="U445" s="1" t="str">
        <f t="shared" si="41"/>
        <v>Low</v>
      </c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36"/>
        <v>23504.880000000001</v>
      </c>
      <c r="Q446" s="1">
        <f t="shared" si="37"/>
        <v>3525.732</v>
      </c>
      <c r="R446" s="11">
        <f t="shared" si="38"/>
        <v>19979.148000000001</v>
      </c>
      <c r="S446" s="1" t="str">
        <f t="shared" si="39"/>
        <v>High</v>
      </c>
      <c r="T446" s="1" t="str">
        <f t="shared" si="40"/>
        <v>High</v>
      </c>
      <c r="U446" s="1" t="str">
        <f t="shared" si="41"/>
        <v>High</v>
      </c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36"/>
        <v>2633.24</v>
      </c>
      <c r="Q447" s="1">
        <f t="shared" si="37"/>
        <v>0</v>
      </c>
      <c r="R447" s="11">
        <f t="shared" si="38"/>
        <v>2633.24</v>
      </c>
      <c r="S447" s="1" t="str">
        <f t="shared" si="39"/>
        <v>Low</v>
      </c>
      <c r="T447" s="1" t="str">
        <f t="shared" si="40"/>
        <v>Low</v>
      </c>
      <c r="U447" s="1" t="str">
        <f t="shared" si="41"/>
        <v>Low</v>
      </c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36"/>
        <v>15484.84</v>
      </c>
      <c r="Q448" s="1">
        <f t="shared" si="37"/>
        <v>1548.4840000000002</v>
      </c>
      <c r="R448" s="11">
        <f t="shared" si="38"/>
        <v>13936.356</v>
      </c>
      <c r="S448" s="1" t="str">
        <f t="shared" si="39"/>
        <v>Low</v>
      </c>
      <c r="T448" s="1" t="str">
        <f t="shared" si="40"/>
        <v>Low</v>
      </c>
      <c r="U448" s="1" t="str">
        <f t="shared" si="41"/>
        <v>Low</v>
      </c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36"/>
        <v>17977.82</v>
      </c>
      <c r="Q449" s="1">
        <f t="shared" si="37"/>
        <v>1797.7820000000002</v>
      </c>
      <c r="R449" s="11">
        <f t="shared" si="38"/>
        <v>16180.038</v>
      </c>
      <c r="S449" s="1" t="str">
        <f t="shared" si="39"/>
        <v>High</v>
      </c>
      <c r="T449" s="1" t="str">
        <f t="shared" si="40"/>
        <v>High</v>
      </c>
      <c r="U449" s="1" t="str">
        <f t="shared" si="41"/>
        <v>High</v>
      </c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36"/>
        <v>14931.88</v>
      </c>
      <c r="Q450" s="1">
        <f t="shared" si="37"/>
        <v>746.59400000000005</v>
      </c>
      <c r="R450" s="11">
        <f t="shared" si="38"/>
        <v>14185.286</v>
      </c>
      <c r="S450" s="1" t="str">
        <f t="shared" si="39"/>
        <v>Low</v>
      </c>
      <c r="T450" s="1" t="str">
        <f t="shared" si="40"/>
        <v>Low</v>
      </c>
      <c r="U450" s="1" t="str">
        <f t="shared" si="41"/>
        <v>Low</v>
      </c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42">L451*M451</f>
        <v>19271</v>
      </c>
      <c r="Q451" s="1">
        <f t="shared" ref="Q451:Q501" si="43">P451*N451%</f>
        <v>3854.2000000000003</v>
      </c>
      <c r="R451" s="11">
        <f t="shared" ref="R451:R501" si="44">P451-Q451</f>
        <v>15416.8</v>
      </c>
      <c r="S451" s="1" t="str">
        <f t="shared" ref="S451:S501" si="45">IF(L451&gt;=5,"High","Low")</f>
        <v>High</v>
      </c>
      <c r="T451" s="1" t="str">
        <f t="shared" ref="T451:T501" si="46">IF(L451&gt;5,"High",IF(L451=5,"Medium","Low"))</f>
        <v>High</v>
      </c>
      <c r="U451" s="1" t="str">
        <f t="shared" ref="U451:U501" si="47">IF(L451&gt;5,"High",IF(L451=5,"Medium","Low"))</f>
        <v>High</v>
      </c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42"/>
        <v>9330.09</v>
      </c>
      <c r="Q452" s="1">
        <f t="shared" si="43"/>
        <v>0</v>
      </c>
      <c r="R452" s="11">
        <f t="shared" si="44"/>
        <v>9330.09</v>
      </c>
      <c r="S452" s="1" t="str">
        <f t="shared" si="45"/>
        <v>High</v>
      </c>
      <c r="T452" s="1" t="str">
        <f t="shared" si="46"/>
        <v>High</v>
      </c>
      <c r="U452" s="1" t="str">
        <f t="shared" si="47"/>
        <v>High</v>
      </c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42"/>
        <v>1574.59</v>
      </c>
      <c r="Q453" s="1">
        <f t="shared" si="43"/>
        <v>78.729500000000002</v>
      </c>
      <c r="R453" s="11">
        <f t="shared" si="44"/>
        <v>1495.8605</v>
      </c>
      <c r="S453" s="1" t="str">
        <f t="shared" si="45"/>
        <v>Low</v>
      </c>
      <c r="T453" s="1" t="str">
        <f t="shared" si="46"/>
        <v>Low</v>
      </c>
      <c r="U453" s="1" t="str">
        <f t="shared" si="47"/>
        <v>Low</v>
      </c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42"/>
        <v>13615.920000000002</v>
      </c>
      <c r="Q454" s="1">
        <f t="shared" si="43"/>
        <v>2042.3880000000001</v>
      </c>
      <c r="R454" s="11">
        <f t="shared" si="44"/>
        <v>11573.532000000001</v>
      </c>
      <c r="S454" s="1" t="str">
        <f t="shared" si="45"/>
        <v>High</v>
      </c>
      <c r="T454" s="1" t="str">
        <f t="shared" si="46"/>
        <v>High</v>
      </c>
      <c r="U454" s="1" t="str">
        <f t="shared" si="47"/>
        <v>High</v>
      </c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42"/>
        <v>28724.04</v>
      </c>
      <c r="Q455" s="1">
        <f t="shared" si="43"/>
        <v>5744.8080000000009</v>
      </c>
      <c r="R455" s="11">
        <f t="shared" si="44"/>
        <v>22979.232</v>
      </c>
      <c r="S455" s="1" t="str">
        <f t="shared" si="45"/>
        <v>High</v>
      </c>
      <c r="T455" s="1" t="str">
        <f t="shared" si="46"/>
        <v>High</v>
      </c>
      <c r="U455" s="1" t="str">
        <f t="shared" si="47"/>
        <v>High</v>
      </c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42"/>
        <v>2748.46</v>
      </c>
      <c r="Q456" s="1">
        <f t="shared" si="43"/>
        <v>0</v>
      </c>
      <c r="R456" s="11">
        <f t="shared" si="44"/>
        <v>2748.46</v>
      </c>
      <c r="S456" s="1" t="str">
        <f t="shared" si="45"/>
        <v>Low</v>
      </c>
      <c r="T456" s="1" t="str">
        <f t="shared" si="46"/>
        <v>Low</v>
      </c>
      <c r="U456" s="1" t="str">
        <f t="shared" si="47"/>
        <v>Low</v>
      </c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42"/>
        <v>7145.88</v>
      </c>
      <c r="Q457" s="1">
        <f t="shared" si="43"/>
        <v>714.58800000000008</v>
      </c>
      <c r="R457" s="11">
        <f t="shared" si="44"/>
        <v>6431.2920000000004</v>
      </c>
      <c r="S457" s="1" t="str">
        <f t="shared" si="45"/>
        <v>Low</v>
      </c>
      <c r="T457" s="1" t="str">
        <f t="shared" si="46"/>
        <v>Low</v>
      </c>
      <c r="U457" s="1" t="str">
        <f t="shared" si="47"/>
        <v>Low</v>
      </c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42"/>
        <v>7403.3</v>
      </c>
      <c r="Q458" s="1">
        <f t="shared" si="43"/>
        <v>0</v>
      </c>
      <c r="R458" s="11">
        <f t="shared" si="44"/>
        <v>7403.3</v>
      </c>
      <c r="S458" s="1" t="str">
        <f t="shared" si="45"/>
        <v>High</v>
      </c>
      <c r="T458" s="1" t="str">
        <f t="shared" si="46"/>
        <v>Medium</v>
      </c>
      <c r="U458" s="1" t="str">
        <f t="shared" si="47"/>
        <v>Medium</v>
      </c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42"/>
        <v>29616.39</v>
      </c>
      <c r="Q459" s="1">
        <f t="shared" si="43"/>
        <v>2961.6390000000001</v>
      </c>
      <c r="R459" s="11">
        <f t="shared" si="44"/>
        <v>26654.751</v>
      </c>
      <c r="S459" s="1" t="str">
        <f t="shared" si="45"/>
        <v>High</v>
      </c>
      <c r="T459" s="1" t="str">
        <f t="shared" si="46"/>
        <v>High</v>
      </c>
      <c r="U459" s="1" t="str">
        <f t="shared" si="47"/>
        <v>High</v>
      </c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42"/>
        <v>7787.6</v>
      </c>
      <c r="Q460" s="1">
        <f t="shared" si="43"/>
        <v>1557.5200000000002</v>
      </c>
      <c r="R460" s="11">
        <f t="shared" si="44"/>
        <v>6230.08</v>
      </c>
      <c r="S460" s="1" t="str">
        <f t="shared" si="45"/>
        <v>Low</v>
      </c>
      <c r="T460" s="1" t="str">
        <f t="shared" si="46"/>
        <v>Low</v>
      </c>
      <c r="U460" s="1" t="str">
        <f t="shared" si="47"/>
        <v>Low</v>
      </c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42"/>
        <v>445.38</v>
      </c>
      <c r="Q461" s="1">
        <f t="shared" si="43"/>
        <v>44.538000000000004</v>
      </c>
      <c r="R461" s="11">
        <f t="shared" si="44"/>
        <v>400.84199999999998</v>
      </c>
      <c r="S461" s="1" t="str">
        <f t="shared" si="45"/>
        <v>Low</v>
      </c>
      <c r="T461" s="1" t="str">
        <f t="shared" si="46"/>
        <v>Low</v>
      </c>
      <c r="U461" s="1" t="str">
        <f t="shared" si="47"/>
        <v>Low</v>
      </c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42"/>
        <v>3157.2</v>
      </c>
      <c r="Q462" s="1">
        <f t="shared" si="43"/>
        <v>473.57999999999993</v>
      </c>
      <c r="R462" s="11">
        <f t="shared" si="44"/>
        <v>2683.62</v>
      </c>
      <c r="S462" s="1" t="str">
        <f t="shared" si="45"/>
        <v>Low</v>
      </c>
      <c r="T462" s="1" t="str">
        <f t="shared" si="46"/>
        <v>Low</v>
      </c>
      <c r="U462" s="1" t="str">
        <f t="shared" si="47"/>
        <v>Low</v>
      </c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42"/>
        <v>2311.5</v>
      </c>
      <c r="Q463" s="1">
        <f t="shared" si="43"/>
        <v>231.15</v>
      </c>
      <c r="R463" s="11">
        <f t="shared" si="44"/>
        <v>2080.35</v>
      </c>
      <c r="S463" s="1" t="str">
        <f t="shared" si="45"/>
        <v>High</v>
      </c>
      <c r="T463" s="1" t="str">
        <f t="shared" si="46"/>
        <v>High</v>
      </c>
      <c r="U463" s="1" t="str">
        <f t="shared" si="47"/>
        <v>High</v>
      </c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42"/>
        <v>10361.6</v>
      </c>
      <c r="Q464" s="1">
        <f t="shared" si="43"/>
        <v>1554.24</v>
      </c>
      <c r="R464" s="11">
        <f t="shared" si="44"/>
        <v>8807.36</v>
      </c>
      <c r="S464" s="1" t="str">
        <f t="shared" si="45"/>
        <v>High</v>
      </c>
      <c r="T464" s="1" t="str">
        <f t="shared" si="46"/>
        <v>Medium</v>
      </c>
      <c r="U464" s="1" t="str">
        <f t="shared" si="47"/>
        <v>Medium</v>
      </c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42"/>
        <v>559.4</v>
      </c>
      <c r="Q465" s="1">
        <f t="shared" si="43"/>
        <v>111.88</v>
      </c>
      <c r="R465" s="11">
        <f t="shared" si="44"/>
        <v>447.52</v>
      </c>
      <c r="S465" s="1" t="str">
        <f t="shared" si="45"/>
        <v>Low</v>
      </c>
      <c r="T465" s="1" t="str">
        <f t="shared" si="46"/>
        <v>Low</v>
      </c>
      <c r="U465" s="1" t="str">
        <f t="shared" si="47"/>
        <v>Low</v>
      </c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42"/>
        <v>2357.7600000000002</v>
      </c>
      <c r="Q466" s="1">
        <f t="shared" si="43"/>
        <v>471.55200000000008</v>
      </c>
      <c r="R466" s="11">
        <f t="shared" si="44"/>
        <v>1886.2080000000001</v>
      </c>
      <c r="S466" s="1" t="str">
        <f t="shared" si="45"/>
        <v>Low</v>
      </c>
      <c r="T466" s="1" t="str">
        <f t="shared" si="46"/>
        <v>Low</v>
      </c>
      <c r="U466" s="1" t="str">
        <f t="shared" si="47"/>
        <v>Low</v>
      </c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42"/>
        <v>22638.239999999998</v>
      </c>
      <c r="Q467" s="1">
        <f t="shared" si="43"/>
        <v>0</v>
      </c>
      <c r="R467" s="11">
        <f t="shared" si="44"/>
        <v>22638.239999999998</v>
      </c>
      <c r="S467" s="1" t="str">
        <f t="shared" si="45"/>
        <v>High</v>
      </c>
      <c r="T467" s="1" t="str">
        <f t="shared" si="46"/>
        <v>High</v>
      </c>
      <c r="U467" s="1" t="str">
        <f t="shared" si="47"/>
        <v>High</v>
      </c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42"/>
        <v>14038.88</v>
      </c>
      <c r="Q468" s="1">
        <f t="shared" si="43"/>
        <v>2105.8319999999999</v>
      </c>
      <c r="R468" s="11">
        <f t="shared" si="44"/>
        <v>11933.047999999999</v>
      </c>
      <c r="S468" s="1" t="str">
        <f t="shared" si="45"/>
        <v>Low</v>
      </c>
      <c r="T468" s="1" t="str">
        <f t="shared" si="46"/>
        <v>Low</v>
      </c>
      <c r="U468" s="1" t="str">
        <f t="shared" si="47"/>
        <v>Low</v>
      </c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42"/>
        <v>17014.77</v>
      </c>
      <c r="Q469" s="1">
        <f t="shared" si="43"/>
        <v>2552.2154999999998</v>
      </c>
      <c r="R469" s="11">
        <f t="shared" si="44"/>
        <v>14462.5545</v>
      </c>
      <c r="S469" s="1" t="str">
        <f t="shared" si="45"/>
        <v>High</v>
      </c>
      <c r="T469" s="1" t="str">
        <f t="shared" si="46"/>
        <v>High</v>
      </c>
      <c r="U469" s="1" t="str">
        <f t="shared" si="47"/>
        <v>High</v>
      </c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42"/>
        <v>19726.75</v>
      </c>
      <c r="Q470" s="1">
        <f t="shared" si="43"/>
        <v>986.33750000000009</v>
      </c>
      <c r="R470" s="11">
        <f t="shared" si="44"/>
        <v>18740.412499999999</v>
      </c>
      <c r="S470" s="1" t="str">
        <f t="shared" si="45"/>
        <v>High</v>
      </c>
      <c r="T470" s="1" t="str">
        <f t="shared" si="46"/>
        <v>Medium</v>
      </c>
      <c r="U470" s="1" t="str">
        <f t="shared" si="47"/>
        <v>Medium</v>
      </c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42"/>
        <v>1205.76</v>
      </c>
      <c r="Q471" s="1">
        <f t="shared" si="43"/>
        <v>60.288000000000004</v>
      </c>
      <c r="R471" s="11">
        <f t="shared" si="44"/>
        <v>1145.472</v>
      </c>
      <c r="S471" s="1" t="str">
        <f t="shared" si="45"/>
        <v>High</v>
      </c>
      <c r="T471" s="1" t="str">
        <f t="shared" si="46"/>
        <v>High</v>
      </c>
      <c r="U471" s="1" t="str">
        <f t="shared" si="47"/>
        <v>High</v>
      </c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42"/>
        <v>22624.38</v>
      </c>
      <c r="Q472" s="1">
        <f t="shared" si="43"/>
        <v>1131.2190000000001</v>
      </c>
      <c r="R472" s="11">
        <f t="shared" si="44"/>
        <v>21493.161</v>
      </c>
      <c r="S472" s="1" t="str">
        <f t="shared" si="45"/>
        <v>High</v>
      </c>
      <c r="T472" s="1" t="str">
        <f t="shared" si="46"/>
        <v>High</v>
      </c>
      <c r="U472" s="1" t="str">
        <f t="shared" si="47"/>
        <v>High</v>
      </c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42"/>
        <v>12616.25</v>
      </c>
      <c r="Q473" s="1">
        <f t="shared" si="43"/>
        <v>1261.625</v>
      </c>
      <c r="R473" s="11">
        <f t="shared" si="44"/>
        <v>11354.625</v>
      </c>
      <c r="S473" s="1" t="str">
        <f t="shared" si="45"/>
        <v>High</v>
      </c>
      <c r="T473" s="1" t="str">
        <f t="shared" si="46"/>
        <v>Medium</v>
      </c>
      <c r="U473" s="1" t="str">
        <f t="shared" si="47"/>
        <v>Medium</v>
      </c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42"/>
        <v>11466.960000000001</v>
      </c>
      <c r="Q474" s="1">
        <f t="shared" si="43"/>
        <v>573.34800000000007</v>
      </c>
      <c r="R474" s="11">
        <f t="shared" si="44"/>
        <v>10893.612000000001</v>
      </c>
      <c r="S474" s="1" t="str">
        <f t="shared" si="45"/>
        <v>High</v>
      </c>
      <c r="T474" s="1" t="str">
        <f t="shared" si="46"/>
        <v>High</v>
      </c>
      <c r="U474" s="1" t="str">
        <f t="shared" si="47"/>
        <v>High</v>
      </c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42"/>
        <v>1678.25</v>
      </c>
      <c r="Q475" s="1">
        <f t="shared" si="43"/>
        <v>251.73749999999998</v>
      </c>
      <c r="R475" s="11">
        <f t="shared" si="44"/>
        <v>1426.5125</v>
      </c>
      <c r="S475" s="1" t="str">
        <f t="shared" si="45"/>
        <v>Low</v>
      </c>
      <c r="T475" s="1" t="str">
        <f t="shared" si="46"/>
        <v>Low</v>
      </c>
      <c r="U475" s="1" t="str">
        <f t="shared" si="47"/>
        <v>Low</v>
      </c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42"/>
        <v>13322.61</v>
      </c>
      <c r="Q476" s="1">
        <f t="shared" si="43"/>
        <v>1332.2610000000002</v>
      </c>
      <c r="R476" s="11">
        <f t="shared" si="44"/>
        <v>11990.349</v>
      </c>
      <c r="S476" s="1" t="str">
        <f t="shared" si="45"/>
        <v>High</v>
      </c>
      <c r="T476" s="1" t="str">
        <f t="shared" si="46"/>
        <v>High</v>
      </c>
      <c r="U476" s="1" t="str">
        <f t="shared" si="47"/>
        <v>High</v>
      </c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42"/>
        <v>6990.4</v>
      </c>
      <c r="Q477" s="1">
        <f t="shared" si="43"/>
        <v>1398.08</v>
      </c>
      <c r="R477" s="11">
        <f t="shared" si="44"/>
        <v>5592.32</v>
      </c>
      <c r="S477" s="1" t="str">
        <f t="shared" si="45"/>
        <v>Low</v>
      </c>
      <c r="T477" s="1" t="str">
        <f t="shared" si="46"/>
        <v>Low</v>
      </c>
      <c r="U477" s="1" t="str">
        <f t="shared" si="47"/>
        <v>Low</v>
      </c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42"/>
        <v>5924.8</v>
      </c>
      <c r="Q478" s="1">
        <f t="shared" si="43"/>
        <v>0</v>
      </c>
      <c r="R478" s="11">
        <f t="shared" si="44"/>
        <v>5924.8</v>
      </c>
      <c r="S478" s="1" t="str">
        <f t="shared" si="45"/>
        <v>Low</v>
      </c>
      <c r="T478" s="1" t="str">
        <f t="shared" si="46"/>
        <v>Low</v>
      </c>
      <c r="U478" s="1" t="str">
        <f t="shared" si="47"/>
        <v>Low</v>
      </c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42"/>
        <v>3355.6</v>
      </c>
      <c r="Q479" s="1">
        <f t="shared" si="43"/>
        <v>167.78</v>
      </c>
      <c r="R479" s="11">
        <f t="shared" si="44"/>
        <v>3187.8199999999997</v>
      </c>
      <c r="S479" s="1" t="str">
        <f t="shared" si="45"/>
        <v>High</v>
      </c>
      <c r="T479" s="1" t="str">
        <f t="shared" si="46"/>
        <v>Medium</v>
      </c>
      <c r="U479" s="1" t="str">
        <f t="shared" si="47"/>
        <v>Medium</v>
      </c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42"/>
        <v>2732.73</v>
      </c>
      <c r="Q480" s="1">
        <f t="shared" si="43"/>
        <v>546.54600000000005</v>
      </c>
      <c r="R480" s="11">
        <f t="shared" si="44"/>
        <v>2186.1840000000002</v>
      </c>
      <c r="S480" s="1" t="str">
        <f t="shared" si="45"/>
        <v>Low</v>
      </c>
      <c r="T480" s="1" t="str">
        <f t="shared" si="46"/>
        <v>Low</v>
      </c>
      <c r="U480" s="1" t="str">
        <f t="shared" si="47"/>
        <v>Low</v>
      </c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42"/>
        <v>5070</v>
      </c>
      <c r="Q481" s="1">
        <f t="shared" si="43"/>
        <v>760.5</v>
      </c>
      <c r="R481" s="11">
        <f t="shared" si="44"/>
        <v>4309.5</v>
      </c>
      <c r="S481" s="1" t="str">
        <f t="shared" si="45"/>
        <v>High</v>
      </c>
      <c r="T481" s="1" t="str">
        <f t="shared" si="46"/>
        <v>High</v>
      </c>
      <c r="U481" s="1" t="str">
        <f t="shared" si="47"/>
        <v>High</v>
      </c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42"/>
        <v>9284.08</v>
      </c>
      <c r="Q482" s="1">
        <f t="shared" si="43"/>
        <v>0</v>
      </c>
      <c r="R482" s="11">
        <f t="shared" si="44"/>
        <v>9284.08</v>
      </c>
      <c r="S482" s="1" t="str">
        <f t="shared" si="45"/>
        <v>High</v>
      </c>
      <c r="T482" s="1" t="str">
        <f t="shared" si="46"/>
        <v>High</v>
      </c>
      <c r="U482" s="1" t="str">
        <f t="shared" si="47"/>
        <v>High</v>
      </c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42"/>
        <v>15205.679999999998</v>
      </c>
      <c r="Q483" s="1">
        <f t="shared" si="43"/>
        <v>3041.136</v>
      </c>
      <c r="R483" s="11">
        <f t="shared" si="44"/>
        <v>12164.543999999998</v>
      </c>
      <c r="S483" s="1" t="str">
        <f t="shared" si="45"/>
        <v>High</v>
      </c>
      <c r="T483" s="1" t="str">
        <f t="shared" si="46"/>
        <v>High</v>
      </c>
      <c r="U483" s="1" t="str">
        <f t="shared" si="47"/>
        <v>High</v>
      </c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42"/>
        <v>1734.4499999999998</v>
      </c>
      <c r="Q484" s="1">
        <f t="shared" si="43"/>
        <v>0</v>
      </c>
      <c r="R484" s="11">
        <f t="shared" si="44"/>
        <v>1734.4499999999998</v>
      </c>
      <c r="S484" s="1" t="str">
        <f t="shared" si="45"/>
        <v>Low</v>
      </c>
      <c r="T484" s="1" t="str">
        <f t="shared" si="46"/>
        <v>Low</v>
      </c>
      <c r="U484" s="1" t="str">
        <f t="shared" si="47"/>
        <v>Low</v>
      </c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42"/>
        <v>27939.599999999999</v>
      </c>
      <c r="Q485" s="1">
        <f t="shared" si="43"/>
        <v>1396.98</v>
      </c>
      <c r="R485" s="11">
        <f t="shared" si="44"/>
        <v>26542.62</v>
      </c>
      <c r="S485" s="1" t="str">
        <f t="shared" si="45"/>
        <v>High</v>
      </c>
      <c r="T485" s="1" t="str">
        <f t="shared" si="46"/>
        <v>High</v>
      </c>
      <c r="U485" s="1" t="str">
        <f t="shared" si="47"/>
        <v>High</v>
      </c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42"/>
        <v>2589.6799999999998</v>
      </c>
      <c r="Q486" s="1">
        <f t="shared" si="43"/>
        <v>388.45199999999994</v>
      </c>
      <c r="R486" s="11">
        <f t="shared" si="44"/>
        <v>2201.2280000000001</v>
      </c>
      <c r="S486" s="1" t="str">
        <f t="shared" si="45"/>
        <v>Low</v>
      </c>
      <c r="T486" s="1" t="str">
        <f t="shared" si="46"/>
        <v>Low</v>
      </c>
      <c r="U486" s="1" t="str">
        <f t="shared" si="47"/>
        <v>Low</v>
      </c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42"/>
        <v>6981.93</v>
      </c>
      <c r="Q487" s="1">
        <f t="shared" si="43"/>
        <v>0</v>
      </c>
      <c r="R487" s="11">
        <f t="shared" si="44"/>
        <v>6981.93</v>
      </c>
      <c r="S487" s="1" t="str">
        <f t="shared" si="45"/>
        <v>High</v>
      </c>
      <c r="T487" s="1" t="str">
        <f t="shared" si="46"/>
        <v>High</v>
      </c>
      <c r="U487" s="1" t="str">
        <f t="shared" si="47"/>
        <v>High</v>
      </c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42"/>
        <v>11004.56</v>
      </c>
      <c r="Q488" s="1">
        <f t="shared" si="43"/>
        <v>2200.9119999999998</v>
      </c>
      <c r="R488" s="11">
        <f t="shared" si="44"/>
        <v>8803.6479999999992</v>
      </c>
      <c r="S488" s="1" t="str">
        <f t="shared" si="45"/>
        <v>Low</v>
      </c>
      <c r="T488" s="1" t="str">
        <f t="shared" si="46"/>
        <v>Low</v>
      </c>
      <c r="U488" s="1" t="str">
        <f t="shared" si="47"/>
        <v>Low</v>
      </c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42"/>
        <v>296.63</v>
      </c>
      <c r="Q489" s="1">
        <f t="shared" si="43"/>
        <v>14.8315</v>
      </c>
      <c r="R489" s="11">
        <f t="shared" si="44"/>
        <v>281.79849999999999</v>
      </c>
      <c r="S489" s="1" t="str">
        <f t="shared" si="45"/>
        <v>Low</v>
      </c>
      <c r="T489" s="1" t="str">
        <f t="shared" si="46"/>
        <v>Low</v>
      </c>
      <c r="U489" s="1" t="str">
        <f t="shared" si="47"/>
        <v>Low</v>
      </c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42"/>
        <v>20295.04</v>
      </c>
      <c r="Q490" s="1">
        <f t="shared" si="43"/>
        <v>1014.7520000000001</v>
      </c>
      <c r="R490" s="11">
        <f t="shared" si="44"/>
        <v>19280.288</v>
      </c>
      <c r="S490" s="1" t="str">
        <f t="shared" si="45"/>
        <v>High</v>
      </c>
      <c r="T490" s="1" t="str">
        <f t="shared" si="46"/>
        <v>High</v>
      </c>
      <c r="U490" s="1" t="str">
        <f t="shared" si="47"/>
        <v>High</v>
      </c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42"/>
        <v>19866.419999999998</v>
      </c>
      <c r="Q491" s="1">
        <f t="shared" si="43"/>
        <v>3973.2839999999997</v>
      </c>
      <c r="R491" s="11">
        <f t="shared" si="44"/>
        <v>15893.135999999999</v>
      </c>
      <c r="S491" s="1" t="str">
        <f t="shared" si="45"/>
        <v>High</v>
      </c>
      <c r="T491" s="1" t="str">
        <f t="shared" si="46"/>
        <v>High</v>
      </c>
      <c r="U491" s="1" t="str">
        <f t="shared" si="47"/>
        <v>High</v>
      </c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42"/>
        <v>4887.1499999999996</v>
      </c>
      <c r="Q492" s="1">
        <f t="shared" si="43"/>
        <v>977.43</v>
      </c>
      <c r="R492" s="11">
        <f t="shared" si="44"/>
        <v>3909.72</v>
      </c>
      <c r="S492" s="1" t="str">
        <f t="shared" si="45"/>
        <v>High</v>
      </c>
      <c r="T492" s="1" t="str">
        <f t="shared" si="46"/>
        <v>Medium</v>
      </c>
      <c r="U492" s="1" t="str">
        <f t="shared" si="47"/>
        <v>Medium</v>
      </c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42"/>
        <v>1557.8</v>
      </c>
      <c r="Q493" s="1">
        <f t="shared" si="43"/>
        <v>0</v>
      </c>
      <c r="R493" s="11">
        <f t="shared" si="44"/>
        <v>1557.8</v>
      </c>
      <c r="S493" s="1" t="str">
        <f t="shared" si="45"/>
        <v>High</v>
      </c>
      <c r="T493" s="1" t="str">
        <f t="shared" si="46"/>
        <v>Medium</v>
      </c>
      <c r="U493" s="1" t="str">
        <f t="shared" si="47"/>
        <v>Medium</v>
      </c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42"/>
        <v>10850.21</v>
      </c>
      <c r="Q494" s="1">
        <f t="shared" si="43"/>
        <v>1085.021</v>
      </c>
      <c r="R494" s="11">
        <f t="shared" si="44"/>
        <v>9765.1889999999985</v>
      </c>
      <c r="S494" s="1" t="str">
        <f t="shared" si="45"/>
        <v>High</v>
      </c>
      <c r="T494" s="1" t="str">
        <f t="shared" si="46"/>
        <v>High</v>
      </c>
      <c r="U494" s="1" t="str">
        <f t="shared" si="47"/>
        <v>High</v>
      </c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42"/>
        <v>2647.9500000000003</v>
      </c>
      <c r="Q495" s="1">
        <f t="shared" si="43"/>
        <v>132.39750000000001</v>
      </c>
      <c r="R495" s="11">
        <f t="shared" si="44"/>
        <v>2515.5525000000002</v>
      </c>
      <c r="S495" s="1" t="str">
        <f t="shared" si="45"/>
        <v>High</v>
      </c>
      <c r="T495" s="1" t="str">
        <f t="shared" si="46"/>
        <v>Medium</v>
      </c>
      <c r="U495" s="1" t="str">
        <f t="shared" si="47"/>
        <v>Medium</v>
      </c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42"/>
        <v>4787.5200000000004</v>
      </c>
      <c r="Q496" s="1">
        <f t="shared" si="43"/>
        <v>0</v>
      </c>
      <c r="R496" s="11">
        <f t="shared" si="44"/>
        <v>4787.5200000000004</v>
      </c>
      <c r="S496" s="1" t="str">
        <f t="shared" si="45"/>
        <v>High</v>
      </c>
      <c r="T496" s="1" t="str">
        <f t="shared" si="46"/>
        <v>High</v>
      </c>
      <c r="U496" s="1" t="str">
        <f t="shared" si="47"/>
        <v>High</v>
      </c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42"/>
        <v>6773.4600000000009</v>
      </c>
      <c r="Q497" s="1">
        <f t="shared" si="43"/>
        <v>1354.6920000000002</v>
      </c>
      <c r="R497" s="11">
        <f t="shared" si="44"/>
        <v>5418.7680000000009</v>
      </c>
      <c r="S497" s="1" t="str">
        <f t="shared" si="45"/>
        <v>High</v>
      </c>
      <c r="T497" s="1" t="str">
        <f t="shared" si="46"/>
        <v>High</v>
      </c>
      <c r="U497" s="1" t="str">
        <f t="shared" si="47"/>
        <v>High</v>
      </c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42"/>
        <v>6437.75</v>
      </c>
      <c r="Q498" s="1">
        <f t="shared" si="43"/>
        <v>0</v>
      </c>
      <c r="R498" s="11">
        <f t="shared" si="44"/>
        <v>6437.75</v>
      </c>
      <c r="S498" s="1" t="str">
        <f t="shared" si="45"/>
        <v>High</v>
      </c>
      <c r="T498" s="1" t="str">
        <f t="shared" si="46"/>
        <v>Medium</v>
      </c>
      <c r="U498" s="1" t="str">
        <f t="shared" si="47"/>
        <v>Medium</v>
      </c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42"/>
        <v>19713.509999999998</v>
      </c>
      <c r="Q499" s="1">
        <f t="shared" si="43"/>
        <v>3942.7019999999998</v>
      </c>
      <c r="R499" s="11">
        <f t="shared" si="44"/>
        <v>15770.807999999999</v>
      </c>
      <c r="S499" s="1" t="str">
        <f t="shared" si="45"/>
        <v>High</v>
      </c>
      <c r="T499" s="1" t="str">
        <f t="shared" si="46"/>
        <v>High</v>
      </c>
      <c r="U499" s="1" t="str">
        <f t="shared" si="47"/>
        <v>High</v>
      </c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42"/>
        <v>5523.62</v>
      </c>
      <c r="Q500" s="1">
        <f t="shared" si="43"/>
        <v>828.54300000000001</v>
      </c>
      <c r="R500" s="11">
        <f t="shared" si="44"/>
        <v>4695.0770000000002</v>
      </c>
      <c r="S500" s="1" t="str">
        <f t="shared" si="45"/>
        <v>Low</v>
      </c>
      <c r="T500" s="1" t="str">
        <f t="shared" si="46"/>
        <v>Low</v>
      </c>
      <c r="U500" s="1" t="str">
        <f t="shared" si="47"/>
        <v>Low</v>
      </c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42"/>
        <v>2432.17</v>
      </c>
      <c r="Q501" s="1">
        <f t="shared" si="43"/>
        <v>486.43400000000003</v>
      </c>
      <c r="R501" s="11">
        <f t="shared" si="44"/>
        <v>1945.7360000000001</v>
      </c>
      <c r="S501" s="1" t="str">
        <f t="shared" si="45"/>
        <v>Low</v>
      </c>
      <c r="T501" s="1" t="str">
        <f t="shared" si="46"/>
        <v>Low</v>
      </c>
      <c r="U501" s="1" t="str">
        <f t="shared" si="47"/>
        <v>Low</v>
      </c>
    </row>
  </sheetData>
  <dataValidations count="3">
    <dataValidation type="list" allowBlank="1" showInputMessage="1" showErrorMessage="1" sqref="X5 X11 X14 X17 Y21 X25 W29 W33" xr:uid="{28801137-01EE-4105-AA27-9140A1CA07CB}">
      <formula1>$AB$2:$AB$6</formula1>
    </dataValidation>
    <dataValidation type="list" allowBlank="1" showInputMessage="1" showErrorMessage="1" sqref="W14 X21 W17 Y25" xr:uid="{5829AAAE-8D9C-463B-A4DF-D9E9E1BEFC3F}">
      <formula1>$AD$2:$AD$8</formula1>
    </dataValidation>
    <dataValidation type="whole" allowBlank="1" showInputMessage="1" showErrorMessage="1" sqref="AA31 X33" xr:uid="{6D9E1282-D371-4A8D-9CC6-B16FB60C57B4}">
      <formula1>0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237-D35A-4896-952A-0098B50ADF1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28F2-00E5-4EA9-B47B-BBC2D41F7E0E}">
  <dimension ref="A1:U14"/>
  <sheetViews>
    <sheetView workbookViewId="0"/>
  </sheetViews>
  <sheetFormatPr defaultRowHeight="14.4" x14ac:dyDescent="0.3"/>
  <cols>
    <col min="3" max="4" width="10.33203125" bestFit="1" customWidth="1"/>
  </cols>
  <sheetData>
    <row r="1" spans="1:2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 t="s">
        <v>71</v>
      </c>
      <c r="R1" s="10" t="s">
        <v>72</v>
      </c>
      <c r="S1" s="7" t="s">
        <v>73</v>
      </c>
      <c r="T1" s="7" t="s">
        <v>74</v>
      </c>
      <c r="U1" s="7" t="s">
        <v>75</v>
      </c>
    </row>
    <row r="2" spans="1:21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v>19907.09</v>
      </c>
      <c r="Q2" s="1">
        <v>0</v>
      </c>
      <c r="R2" s="11">
        <v>19907.09</v>
      </c>
      <c r="S2" s="1" t="s">
        <v>168</v>
      </c>
      <c r="T2" s="1" t="e">
        <v>#NAME?</v>
      </c>
      <c r="U2" s="1" t="s">
        <v>168</v>
      </c>
    </row>
    <row r="3" spans="1:21" x14ac:dyDescent="0.3">
      <c r="A3" s="5">
        <v>10018</v>
      </c>
      <c r="B3" s="1">
        <v>1871</v>
      </c>
      <c r="C3" s="2">
        <v>45045</v>
      </c>
      <c r="D3" s="2">
        <v>45048</v>
      </c>
      <c r="E3" s="1" t="s">
        <v>15</v>
      </c>
      <c r="F3" s="1" t="s">
        <v>29</v>
      </c>
      <c r="G3" s="1" t="s">
        <v>24</v>
      </c>
      <c r="H3" s="1" t="s">
        <v>18</v>
      </c>
      <c r="I3" s="1" t="s">
        <v>19</v>
      </c>
      <c r="J3" s="1" t="s">
        <v>55</v>
      </c>
      <c r="K3" s="1" t="s">
        <v>28</v>
      </c>
      <c r="L3" s="1">
        <v>1</v>
      </c>
      <c r="M3" s="1">
        <v>2165.81</v>
      </c>
      <c r="N3" s="1">
        <v>15</v>
      </c>
      <c r="O3" s="1">
        <v>1840.94</v>
      </c>
      <c r="P3" s="9">
        <v>2165.81</v>
      </c>
      <c r="Q3" s="1">
        <v>324.87149999999997</v>
      </c>
      <c r="R3" s="11">
        <v>1840.9385</v>
      </c>
      <c r="S3" s="1" t="s">
        <v>170</v>
      </c>
      <c r="T3" s="1" t="e">
        <v>#NAME?</v>
      </c>
      <c r="U3" s="1" t="s">
        <v>170</v>
      </c>
    </row>
    <row r="4" spans="1:21" x14ac:dyDescent="0.3">
      <c r="A4" s="5">
        <v>10032</v>
      </c>
      <c r="B4" s="1">
        <v>1160</v>
      </c>
      <c r="C4" s="2">
        <v>45150</v>
      </c>
      <c r="D4" s="2">
        <v>45158</v>
      </c>
      <c r="E4" s="1" t="s">
        <v>15</v>
      </c>
      <c r="F4" s="1" t="s">
        <v>41</v>
      </c>
      <c r="G4" s="1" t="s">
        <v>30</v>
      </c>
      <c r="H4" s="1" t="s">
        <v>18</v>
      </c>
      <c r="I4" s="1" t="s">
        <v>19</v>
      </c>
      <c r="J4" s="1" t="s">
        <v>43</v>
      </c>
      <c r="K4" s="1" t="s">
        <v>21</v>
      </c>
      <c r="L4" s="1">
        <v>4</v>
      </c>
      <c r="M4" s="1">
        <v>750.74</v>
      </c>
      <c r="N4" s="1">
        <v>5</v>
      </c>
      <c r="O4" s="1">
        <v>2852.81</v>
      </c>
      <c r="P4" s="9">
        <v>3002.96</v>
      </c>
      <c r="Q4" s="1">
        <v>150.148</v>
      </c>
      <c r="R4" s="11">
        <v>2852.8119999999999</v>
      </c>
      <c r="S4" s="1" t="s">
        <v>170</v>
      </c>
      <c r="T4" s="1" t="e">
        <v>#NAME?</v>
      </c>
      <c r="U4" s="1" t="s">
        <v>170</v>
      </c>
    </row>
    <row r="5" spans="1:21" x14ac:dyDescent="0.3">
      <c r="A5" s="5">
        <v>10071</v>
      </c>
      <c r="B5" s="1">
        <v>1776</v>
      </c>
      <c r="C5" s="2">
        <v>45070</v>
      </c>
      <c r="D5" s="2">
        <v>45078</v>
      </c>
      <c r="E5" s="1" t="s">
        <v>15</v>
      </c>
      <c r="F5" s="1" t="s">
        <v>29</v>
      </c>
      <c r="G5" s="1" t="s">
        <v>17</v>
      </c>
      <c r="H5" s="1" t="s">
        <v>18</v>
      </c>
      <c r="I5" s="1" t="s">
        <v>26</v>
      </c>
      <c r="J5" s="1" t="s">
        <v>61</v>
      </c>
      <c r="K5" s="1" t="s">
        <v>47</v>
      </c>
      <c r="L5" s="1">
        <v>3</v>
      </c>
      <c r="M5" s="1">
        <v>3854.71</v>
      </c>
      <c r="N5" s="1">
        <v>5</v>
      </c>
      <c r="O5" s="1">
        <v>10985.92</v>
      </c>
      <c r="P5" s="9">
        <v>11564.130000000001</v>
      </c>
      <c r="Q5" s="1">
        <v>578.20650000000012</v>
      </c>
      <c r="R5" s="11">
        <v>10985.923500000001</v>
      </c>
      <c r="S5" s="1" t="s">
        <v>170</v>
      </c>
      <c r="T5" s="1" t="e">
        <v>#NAME?</v>
      </c>
      <c r="U5" s="1" t="s">
        <v>170</v>
      </c>
    </row>
    <row r="6" spans="1:21" x14ac:dyDescent="0.3">
      <c r="A6" s="5">
        <v>10108</v>
      </c>
      <c r="B6" s="1">
        <v>1815</v>
      </c>
      <c r="C6" s="2">
        <v>45037</v>
      </c>
      <c r="D6" s="2">
        <v>45045</v>
      </c>
      <c r="E6" s="1" t="s">
        <v>15</v>
      </c>
      <c r="F6" s="1" t="s">
        <v>29</v>
      </c>
      <c r="G6" s="1" t="s">
        <v>24</v>
      </c>
      <c r="H6" s="1" t="s">
        <v>18</v>
      </c>
      <c r="I6" s="1" t="s">
        <v>26</v>
      </c>
      <c r="J6" s="1" t="s">
        <v>36</v>
      </c>
      <c r="K6" s="1" t="s">
        <v>21</v>
      </c>
      <c r="L6" s="1">
        <v>2</v>
      </c>
      <c r="M6" s="1">
        <v>564.30999999999995</v>
      </c>
      <c r="N6" s="1">
        <v>15</v>
      </c>
      <c r="O6" s="1">
        <v>959.33</v>
      </c>
      <c r="P6" s="9">
        <v>1128.6199999999999</v>
      </c>
      <c r="Q6" s="1">
        <v>169.29299999999998</v>
      </c>
      <c r="R6" s="11">
        <v>959.32699999999988</v>
      </c>
      <c r="S6" s="1" t="s">
        <v>170</v>
      </c>
      <c r="T6" s="1" t="e">
        <v>#NAME?</v>
      </c>
      <c r="U6" s="1" t="s">
        <v>170</v>
      </c>
    </row>
    <row r="7" spans="1:21" x14ac:dyDescent="0.3">
      <c r="A7" s="5">
        <v>10171</v>
      </c>
      <c r="B7" s="1">
        <v>1986</v>
      </c>
      <c r="C7" s="2">
        <v>45227</v>
      </c>
      <c r="D7" s="2">
        <v>45228</v>
      </c>
      <c r="E7" s="1" t="s">
        <v>15</v>
      </c>
      <c r="F7" s="1" t="s">
        <v>41</v>
      </c>
      <c r="G7" s="1" t="s">
        <v>24</v>
      </c>
      <c r="H7" s="1" t="s">
        <v>18</v>
      </c>
      <c r="I7" s="1" t="s">
        <v>19</v>
      </c>
      <c r="J7" s="1" t="s">
        <v>43</v>
      </c>
      <c r="K7" s="1" t="s">
        <v>21</v>
      </c>
      <c r="L7" s="1">
        <v>8</v>
      </c>
      <c r="M7" s="1">
        <v>3795.01</v>
      </c>
      <c r="N7" s="1">
        <v>5</v>
      </c>
      <c r="O7" s="1">
        <v>28842.080000000002</v>
      </c>
      <c r="P7" s="9">
        <v>30360.080000000002</v>
      </c>
      <c r="Q7" s="1">
        <v>1518.0040000000001</v>
      </c>
      <c r="R7" s="11">
        <v>28842.076000000001</v>
      </c>
      <c r="S7" s="1" t="s">
        <v>168</v>
      </c>
      <c r="T7" s="1" t="e">
        <v>#NAME?</v>
      </c>
      <c r="U7" s="1" t="s">
        <v>168</v>
      </c>
    </row>
    <row r="8" spans="1:21" x14ac:dyDescent="0.3">
      <c r="A8" s="5">
        <v>10183</v>
      </c>
      <c r="B8" s="1">
        <v>1766</v>
      </c>
      <c r="C8" s="2">
        <v>45285</v>
      </c>
      <c r="D8" s="2">
        <v>45294</v>
      </c>
      <c r="E8" s="1" t="s">
        <v>15</v>
      </c>
      <c r="F8" s="1" t="s">
        <v>23</v>
      </c>
      <c r="G8" s="1" t="s">
        <v>30</v>
      </c>
      <c r="H8" s="1" t="s">
        <v>18</v>
      </c>
      <c r="I8" s="1" t="s">
        <v>31</v>
      </c>
      <c r="J8" s="1" t="s">
        <v>39</v>
      </c>
      <c r="K8" s="1" t="s">
        <v>47</v>
      </c>
      <c r="L8" s="1">
        <v>7</v>
      </c>
      <c r="M8" s="1">
        <v>658.07</v>
      </c>
      <c r="N8" s="1">
        <v>20</v>
      </c>
      <c r="O8" s="1">
        <v>3685.19</v>
      </c>
      <c r="P8" s="9">
        <v>4606.4900000000007</v>
      </c>
      <c r="Q8" s="1">
        <v>921.29800000000023</v>
      </c>
      <c r="R8" s="11">
        <v>3685.1920000000005</v>
      </c>
      <c r="S8" s="1" t="s">
        <v>168</v>
      </c>
      <c r="T8" s="1" t="e">
        <v>#NAME?</v>
      </c>
      <c r="U8" s="1" t="s">
        <v>168</v>
      </c>
    </row>
    <row r="9" spans="1:21" x14ac:dyDescent="0.3">
      <c r="A9" s="5">
        <v>10210</v>
      </c>
      <c r="B9" s="1">
        <v>1035</v>
      </c>
      <c r="C9" s="2">
        <v>45282</v>
      </c>
      <c r="D9" s="2">
        <v>45284</v>
      </c>
      <c r="E9" s="1" t="s">
        <v>15</v>
      </c>
      <c r="F9" s="1" t="s">
        <v>54</v>
      </c>
      <c r="G9" s="1" t="s">
        <v>30</v>
      </c>
      <c r="H9" s="1" t="s">
        <v>18</v>
      </c>
      <c r="I9" s="1" t="s">
        <v>19</v>
      </c>
      <c r="J9" s="1" t="s">
        <v>20</v>
      </c>
      <c r="K9" s="1" t="s">
        <v>45</v>
      </c>
      <c r="L9" s="1">
        <v>8</v>
      </c>
      <c r="M9" s="1">
        <v>3656.59</v>
      </c>
      <c r="N9" s="1">
        <v>15</v>
      </c>
      <c r="O9" s="1">
        <v>24864.81</v>
      </c>
      <c r="P9" s="9">
        <v>29252.720000000001</v>
      </c>
      <c r="Q9" s="1">
        <v>4387.9080000000004</v>
      </c>
      <c r="R9" s="11">
        <v>24864.812000000002</v>
      </c>
      <c r="S9" s="1" t="s">
        <v>168</v>
      </c>
      <c r="T9" s="1" t="e">
        <v>#NAME?</v>
      </c>
      <c r="U9" s="1" t="s">
        <v>168</v>
      </c>
    </row>
    <row r="10" spans="1:21" x14ac:dyDescent="0.3">
      <c r="A10" s="5">
        <v>10420</v>
      </c>
      <c r="B10" s="1">
        <v>1276</v>
      </c>
      <c r="C10" s="2">
        <v>45207</v>
      </c>
      <c r="D10" s="2">
        <v>45209</v>
      </c>
      <c r="E10" s="1" t="s">
        <v>15</v>
      </c>
      <c r="F10" s="1" t="s">
        <v>29</v>
      </c>
      <c r="G10" s="1" t="s">
        <v>24</v>
      </c>
      <c r="H10" s="1" t="s">
        <v>18</v>
      </c>
      <c r="I10" s="1" t="s">
        <v>19</v>
      </c>
      <c r="J10" s="1" t="s">
        <v>66</v>
      </c>
      <c r="K10" s="1" t="s">
        <v>21</v>
      </c>
      <c r="L10" s="1">
        <v>2</v>
      </c>
      <c r="M10" s="1">
        <v>406.77</v>
      </c>
      <c r="N10" s="1">
        <v>10</v>
      </c>
      <c r="O10" s="1">
        <v>732.19</v>
      </c>
      <c r="P10" s="9">
        <v>813.54</v>
      </c>
      <c r="Q10" s="1">
        <v>81.353999999999999</v>
      </c>
      <c r="R10" s="11">
        <v>732.18599999999992</v>
      </c>
      <c r="S10" s="1" t="s">
        <v>170</v>
      </c>
      <c r="T10" s="1" t="e">
        <v>#NAME?</v>
      </c>
      <c r="U10" s="1" t="s">
        <v>170</v>
      </c>
    </row>
    <row r="11" spans="1:21" x14ac:dyDescent="0.3">
      <c r="A11" s="5">
        <v>10433</v>
      </c>
      <c r="B11" s="1">
        <v>1954</v>
      </c>
      <c r="C11" s="2">
        <v>45152</v>
      </c>
      <c r="D11" s="2">
        <v>45159</v>
      </c>
      <c r="E11" s="1" t="s">
        <v>15</v>
      </c>
      <c r="F11" s="1" t="s">
        <v>54</v>
      </c>
      <c r="G11" s="1" t="s">
        <v>17</v>
      </c>
      <c r="H11" s="1" t="s">
        <v>18</v>
      </c>
      <c r="I11" s="1" t="s">
        <v>49</v>
      </c>
      <c r="J11" s="1" t="s">
        <v>51</v>
      </c>
      <c r="K11" s="1" t="s">
        <v>33</v>
      </c>
      <c r="L11" s="1">
        <v>4</v>
      </c>
      <c r="M11" s="1">
        <v>3590.5</v>
      </c>
      <c r="N11" s="1">
        <v>0</v>
      </c>
      <c r="O11" s="1">
        <v>14362</v>
      </c>
      <c r="P11" s="9">
        <v>14362</v>
      </c>
      <c r="Q11" s="1">
        <v>0</v>
      </c>
      <c r="R11" s="11">
        <v>14362</v>
      </c>
      <c r="S11" s="1" t="s">
        <v>170</v>
      </c>
      <c r="T11" s="1" t="e">
        <v>#NAME?</v>
      </c>
      <c r="U11" s="1" t="s">
        <v>170</v>
      </c>
    </row>
    <row r="12" spans="1:21" x14ac:dyDescent="0.3">
      <c r="A12" s="5">
        <v>10436</v>
      </c>
      <c r="B12" s="1">
        <v>1374</v>
      </c>
      <c r="C12" s="2">
        <v>45212</v>
      </c>
      <c r="D12" s="2">
        <v>45213</v>
      </c>
      <c r="E12" s="1" t="s">
        <v>15</v>
      </c>
      <c r="F12" s="1" t="s">
        <v>23</v>
      </c>
      <c r="G12" s="1" t="s">
        <v>30</v>
      </c>
      <c r="H12" s="1" t="s">
        <v>18</v>
      </c>
      <c r="I12" s="1" t="s">
        <v>52</v>
      </c>
      <c r="J12" s="1" t="s">
        <v>60</v>
      </c>
      <c r="K12" s="1" t="s">
        <v>21</v>
      </c>
      <c r="L12" s="1">
        <v>3</v>
      </c>
      <c r="M12" s="1">
        <v>3986.78</v>
      </c>
      <c r="N12" s="1">
        <v>20</v>
      </c>
      <c r="O12" s="1">
        <v>9568.27</v>
      </c>
      <c r="P12" s="9">
        <v>11960.34</v>
      </c>
      <c r="Q12" s="1">
        <v>2392.0680000000002</v>
      </c>
      <c r="R12" s="11">
        <v>9568.2720000000008</v>
      </c>
      <c r="S12" s="1" t="s">
        <v>170</v>
      </c>
      <c r="T12" s="1" t="e">
        <v>#NAME?</v>
      </c>
      <c r="U12" s="1" t="s">
        <v>170</v>
      </c>
    </row>
    <row r="13" spans="1:21" x14ac:dyDescent="0.3">
      <c r="A13" s="5">
        <v>10455</v>
      </c>
      <c r="B13" s="1">
        <v>1480</v>
      </c>
      <c r="C13" s="2">
        <v>45034</v>
      </c>
      <c r="D13" s="2">
        <v>45036</v>
      </c>
      <c r="E13" s="1" t="s">
        <v>15</v>
      </c>
      <c r="F13" s="1" t="s">
        <v>29</v>
      </c>
      <c r="G13" s="1" t="s">
        <v>17</v>
      </c>
      <c r="H13" s="1" t="s">
        <v>18</v>
      </c>
      <c r="I13" s="1" t="s">
        <v>52</v>
      </c>
      <c r="J13" s="1" t="s">
        <v>64</v>
      </c>
      <c r="K13" s="1" t="s">
        <v>45</v>
      </c>
      <c r="L13" s="1">
        <v>2</v>
      </c>
      <c r="M13" s="1">
        <v>1374.23</v>
      </c>
      <c r="N13" s="1">
        <v>0</v>
      </c>
      <c r="O13" s="1">
        <v>2748.46</v>
      </c>
      <c r="P13" s="9">
        <v>2748.46</v>
      </c>
      <c r="Q13" s="1">
        <v>0</v>
      </c>
      <c r="R13" s="11">
        <v>2748.46</v>
      </c>
      <c r="S13" s="1" t="s">
        <v>170</v>
      </c>
      <c r="T13" s="1" t="e">
        <v>#NAME?</v>
      </c>
      <c r="U13" s="1" t="s">
        <v>170</v>
      </c>
    </row>
    <row r="14" spans="1:21" x14ac:dyDescent="0.3">
      <c r="A14" s="5">
        <v>10469</v>
      </c>
      <c r="B14" s="1">
        <v>1476</v>
      </c>
      <c r="C14" s="2">
        <v>45050</v>
      </c>
      <c r="D14" s="2">
        <v>45052</v>
      </c>
      <c r="E14" s="1" t="s">
        <v>15</v>
      </c>
      <c r="F14" s="1" t="s">
        <v>41</v>
      </c>
      <c r="G14" s="1" t="s">
        <v>30</v>
      </c>
      <c r="H14" s="1" t="s">
        <v>18</v>
      </c>
      <c r="I14" s="1" t="s">
        <v>31</v>
      </c>
      <c r="J14" s="1" t="s">
        <v>48</v>
      </c>
      <c r="K14" s="1" t="s">
        <v>45</v>
      </c>
      <c r="L14" s="1">
        <v>5</v>
      </c>
      <c r="M14" s="1">
        <v>3945.35</v>
      </c>
      <c r="N14" s="1">
        <v>5</v>
      </c>
      <c r="O14" s="1">
        <v>18740.41</v>
      </c>
      <c r="P14" s="9">
        <v>19726.75</v>
      </c>
      <c r="Q14" s="1">
        <v>986.33750000000009</v>
      </c>
      <c r="R14" s="11">
        <v>18740.412499999999</v>
      </c>
      <c r="S14" s="1" t="s">
        <v>168</v>
      </c>
      <c r="T14" s="1" t="e">
        <v>#NAME?</v>
      </c>
      <c r="U14" s="1" t="s">
        <v>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8E2D9-0138-4FBF-A9FE-2635F47E3A38}">
  <dimension ref="C4:Y28"/>
  <sheetViews>
    <sheetView workbookViewId="0">
      <selection activeCell="W20" sqref="W20"/>
    </sheetView>
  </sheetViews>
  <sheetFormatPr defaultRowHeight="14.4" x14ac:dyDescent="0.3"/>
  <cols>
    <col min="21" max="21" width="11.33203125" bestFit="1" customWidth="1"/>
    <col min="22" max="22" width="9.77734375" bestFit="1" customWidth="1"/>
    <col min="23" max="23" width="12.44140625" bestFit="1" customWidth="1"/>
    <col min="24" max="25" width="11.33203125" bestFit="1" customWidth="1"/>
  </cols>
  <sheetData>
    <row r="4" spans="3:25" x14ac:dyDescent="0.3">
      <c r="C4" s="3" t="s">
        <v>92</v>
      </c>
      <c r="D4" s="3" t="s">
        <v>93</v>
      </c>
      <c r="E4" s="3" t="s">
        <v>94</v>
      </c>
      <c r="H4" s="13">
        <v>67</v>
      </c>
      <c r="I4" s="13">
        <v>69</v>
      </c>
      <c r="L4" s="16" t="s">
        <v>99</v>
      </c>
      <c r="M4" s="16" t="s">
        <v>100</v>
      </c>
      <c r="N4" s="16" t="s">
        <v>101</v>
      </c>
      <c r="O4" s="16" t="s">
        <v>102</v>
      </c>
    </row>
    <row r="5" spans="3:25" x14ac:dyDescent="0.3">
      <c r="C5" s="13" t="s">
        <v>95</v>
      </c>
      <c r="D5" s="13">
        <v>8</v>
      </c>
      <c r="E5" s="13">
        <v>67</v>
      </c>
      <c r="H5" s="13">
        <v>89</v>
      </c>
      <c r="I5" s="13">
        <v>92</v>
      </c>
      <c r="L5" t="s">
        <v>100</v>
      </c>
      <c r="M5" s="16" t="s">
        <v>101</v>
      </c>
      <c r="N5" s="16"/>
    </row>
    <row r="6" spans="3:25" x14ac:dyDescent="0.3">
      <c r="C6" s="13" t="s">
        <v>96</v>
      </c>
      <c r="D6" s="13">
        <v>9</v>
      </c>
      <c r="E6" s="13">
        <v>89</v>
      </c>
      <c r="H6" s="13">
        <v>90</v>
      </c>
      <c r="I6" s="13">
        <v>96</v>
      </c>
      <c r="L6" t="s">
        <v>101</v>
      </c>
      <c r="M6" s="16" t="s">
        <v>102</v>
      </c>
      <c r="N6" s="16"/>
    </row>
    <row r="7" spans="3:25" x14ac:dyDescent="0.3">
      <c r="C7" s="13" t="s">
        <v>97</v>
      </c>
      <c r="D7" s="13">
        <v>6</v>
      </c>
      <c r="E7" s="13">
        <v>90</v>
      </c>
      <c r="H7" s="13">
        <v>87</v>
      </c>
      <c r="I7" s="13">
        <v>95</v>
      </c>
      <c r="L7" t="s">
        <v>102</v>
      </c>
      <c r="M7" s="16" t="s">
        <v>103</v>
      </c>
      <c r="N7" s="16"/>
    </row>
    <row r="8" spans="3:25" x14ac:dyDescent="0.3">
      <c r="C8" s="13" t="s">
        <v>98</v>
      </c>
      <c r="D8" s="13">
        <v>7</v>
      </c>
      <c r="E8" s="13">
        <v>87</v>
      </c>
      <c r="L8" t="s">
        <v>103</v>
      </c>
      <c r="M8" s="16" t="s">
        <v>104</v>
      </c>
      <c r="N8" s="16"/>
    </row>
    <row r="9" spans="3:25" x14ac:dyDescent="0.3">
      <c r="L9" t="s">
        <v>104</v>
      </c>
      <c r="M9" s="16" t="s">
        <v>105</v>
      </c>
      <c r="N9" s="16"/>
    </row>
    <row r="10" spans="3:25" x14ac:dyDescent="0.3">
      <c r="I10" s="17" t="s">
        <v>106</v>
      </c>
    </row>
    <row r="11" spans="3:25" x14ac:dyDescent="0.3">
      <c r="I11" s="17" t="s">
        <v>107</v>
      </c>
      <c r="K11">
        <v>1</v>
      </c>
      <c r="M11">
        <v>10</v>
      </c>
      <c r="U11" s="3" t="s">
        <v>122</v>
      </c>
      <c r="V11" s="3" t="s">
        <v>123</v>
      </c>
      <c r="X11" s="3" t="s">
        <v>122</v>
      </c>
      <c r="Y11" s="3" t="s">
        <v>128</v>
      </c>
    </row>
    <row r="12" spans="3:25" x14ac:dyDescent="0.3">
      <c r="I12" s="17" t="s">
        <v>108</v>
      </c>
      <c r="K12">
        <v>2</v>
      </c>
      <c r="M12">
        <v>20</v>
      </c>
      <c r="P12">
        <v>10</v>
      </c>
      <c r="Q12">
        <v>10</v>
      </c>
      <c r="R12">
        <v>10</v>
      </c>
      <c r="S12">
        <v>10</v>
      </c>
      <c r="U12" s="1" t="s">
        <v>124</v>
      </c>
      <c r="V12" s="1">
        <v>123</v>
      </c>
      <c r="X12" s="1" t="s">
        <v>124</v>
      </c>
      <c r="Y12" s="1">
        <v>543</v>
      </c>
    </row>
    <row r="13" spans="3:25" x14ac:dyDescent="0.3">
      <c r="I13" s="17" t="s">
        <v>109</v>
      </c>
      <c r="K13">
        <v>3</v>
      </c>
      <c r="M13">
        <v>30</v>
      </c>
      <c r="P13">
        <v>10</v>
      </c>
      <c r="Q13">
        <v>10</v>
      </c>
      <c r="R13">
        <v>10</v>
      </c>
      <c r="S13">
        <v>10</v>
      </c>
      <c r="U13" s="1" t="s">
        <v>125</v>
      </c>
      <c r="V13" s="1">
        <v>124</v>
      </c>
      <c r="X13" s="1" t="s">
        <v>125</v>
      </c>
      <c r="Y13" s="1">
        <v>943</v>
      </c>
    </row>
    <row r="14" spans="3:25" x14ac:dyDescent="0.3">
      <c r="I14" s="17" t="s">
        <v>110</v>
      </c>
      <c r="K14">
        <v>4</v>
      </c>
      <c r="M14">
        <v>40</v>
      </c>
      <c r="P14">
        <v>10</v>
      </c>
      <c r="Q14">
        <v>10</v>
      </c>
      <c r="R14">
        <v>10</v>
      </c>
      <c r="S14">
        <v>10</v>
      </c>
      <c r="U14" s="1" t="s">
        <v>126</v>
      </c>
      <c r="V14" s="1">
        <v>345</v>
      </c>
      <c r="X14" s="1" t="s">
        <v>126</v>
      </c>
      <c r="Y14" s="1">
        <v>420</v>
      </c>
    </row>
    <row r="15" spans="3:25" x14ac:dyDescent="0.3">
      <c r="I15" s="17" t="s">
        <v>111</v>
      </c>
      <c r="K15">
        <v>5</v>
      </c>
      <c r="M15">
        <v>50</v>
      </c>
      <c r="P15">
        <v>10</v>
      </c>
      <c r="Q15">
        <v>10</v>
      </c>
      <c r="R15">
        <v>10</v>
      </c>
      <c r="S15">
        <v>10</v>
      </c>
      <c r="U15" s="1" t="s">
        <v>127</v>
      </c>
      <c r="V15" s="1">
        <v>230</v>
      </c>
      <c r="X15" s="1" t="s">
        <v>127</v>
      </c>
      <c r="Y15" s="1">
        <v>864</v>
      </c>
    </row>
    <row r="16" spans="3:25" x14ac:dyDescent="0.3">
      <c r="I16" s="17" t="s">
        <v>112</v>
      </c>
      <c r="K16">
        <v>6</v>
      </c>
      <c r="M16">
        <v>60</v>
      </c>
      <c r="P16">
        <v>10</v>
      </c>
      <c r="Q16">
        <v>10</v>
      </c>
      <c r="R16">
        <v>10</v>
      </c>
      <c r="S16">
        <v>10</v>
      </c>
    </row>
    <row r="17" spans="9:23" x14ac:dyDescent="0.3">
      <c r="I17" s="17" t="s">
        <v>113</v>
      </c>
      <c r="K17">
        <v>7</v>
      </c>
      <c r="M17">
        <v>70</v>
      </c>
      <c r="P17">
        <v>10</v>
      </c>
      <c r="Q17">
        <v>10</v>
      </c>
      <c r="R17">
        <v>10</v>
      </c>
      <c r="S17">
        <v>10</v>
      </c>
    </row>
    <row r="18" spans="9:23" x14ac:dyDescent="0.3">
      <c r="I18" s="17" t="s">
        <v>114</v>
      </c>
      <c r="K18">
        <v>8</v>
      </c>
      <c r="M18">
        <v>80</v>
      </c>
      <c r="P18">
        <v>10</v>
      </c>
      <c r="Q18">
        <v>10</v>
      </c>
      <c r="R18">
        <v>10</v>
      </c>
      <c r="S18">
        <v>10</v>
      </c>
      <c r="U18" s="3" t="s">
        <v>129</v>
      </c>
      <c r="V18" s="3" t="s">
        <v>130</v>
      </c>
      <c r="W18" s="3" t="s">
        <v>139</v>
      </c>
    </row>
    <row r="19" spans="9:23" x14ac:dyDescent="0.3">
      <c r="I19" s="17" t="s">
        <v>115</v>
      </c>
      <c r="K19">
        <v>9</v>
      </c>
      <c r="M19">
        <v>90</v>
      </c>
      <c r="U19" s="1" t="s">
        <v>131</v>
      </c>
      <c r="V19" s="1" t="s">
        <v>132</v>
      </c>
      <c r="W19" s="1" t="s">
        <v>140</v>
      </c>
    </row>
    <row r="20" spans="9:23" x14ac:dyDescent="0.3">
      <c r="I20" s="17" t="s">
        <v>116</v>
      </c>
      <c r="K20">
        <v>10</v>
      </c>
      <c r="M20">
        <v>100</v>
      </c>
      <c r="U20" s="1" t="s">
        <v>133</v>
      </c>
      <c r="V20" s="1" t="s">
        <v>134</v>
      </c>
      <c r="W20" s="1" t="s">
        <v>141</v>
      </c>
    </row>
    <row r="21" spans="9:23" x14ac:dyDescent="0.3">
      <c r="I21" s="17" t="s">
        <v>117</v>
      </c>
      <c r="U21" s="1" t="s">
        <v>135</v>
      </c>
      <c r="V21" s="1" t="s">
        <v>136</v>
      </c>
      <c r="W21" s="1" t="s">
        <v>142</v>
      </c>
    </row>
    <row r="22" spans="9:23" x14ac:dyDescent="0.3">
      <c r="U22" s="1" t="s">
        <v>137</v>
      </c>
      <c r="V22" s="1" t="s">
        <v>138</v>
      </c>
      <c r="W22" s="1" t="s">
        <v>143</v>
      </c>
    </row>
    <row r="23" spans="9:23" x14ac:dyDescent="0.3">
      <c r="N23" t="s">
        <v>118</v>
      </c>
    </row>
    <row r="24" spans="9:23" x14ac:dyDescent="0.3">
      <c r="N24" t="s">
        <v>119</v>
      </c>
    </row>
    <row r="25" spans="9:23" x14ac:dyDescent="0.3">
      <c r="N25" t="s">
        <v>120</v>
      </c>
    </row>
    <row r="26" spans="9:23" x14ac:dyDescent="0.3">
      <c r="N26" t="s">
        <v>121</v>
      </c>
    </row>
    <row r="27" spans="9:23" x14ac:dyDescent="0.3">
      <c r="N27" t="s">
        <v>118</v>
      </c>
    </row>
    <row r="28" spans="9:23" x14ac:dyDescent="0.3">
      <c r="N28" t="s">
        <v>119</v>
      </c>
    </row>
  </sheetData>
  <phoneticPr fontId="2" type="noConversion"/>
  <conditionalFormatting sqref="L4:O4 M5:N9">
    <cfRule type="containsText" dxfId="0" priority="1" operator="containsText" text="Mon">
      <formula>NOT(ISERROR(SEARCH("Mon",L4)))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34B6-9B43-45D6-9ABB-9E1DE2DC496E}">
  <dimension ref="A1:AG501"/>
  <sheetViews>
    <sheetView zoomScale="93" workbookViewId="0">
      <selection activeCell="W22" sqref="W2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8867187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4.33203125" bestFit="1" customWidth="1"/>
    <col min="9" max="9" width="15.88671875" bestFit="1" customWidth="1"/>
    <col min="10" max="10" width="15.77734375" bestFit="1" customWidth="1"/>
    <col min="11" max="11" width="13.21875" bestFit="1" customWidth="1"/>
    <col min="12" max="12" width="7" bestFit="1" customWidth="1"/>
    <col min="13" max="13" width="9.44140625" bestFit="1" customWidth="1"/>
    <col min="14" max="14" width="9.109375" bestFit="1" customWidth="1"/>
    <col min="15" max="15" width="10.21875" bestFit="1" customWidth="1"/>
    <col min="16" max="16" width="16.33203125" bestFit="1" customWidth="1"/>
    <col min="17" max="17" width="9" bestFit="1" customWidth="1"/>
    <col min="18" max="18" width="17.6640625" style="21" bestFit="1" customWidth="1"/>
    <col min="19" max="19" width="16.44140625" bestFit="1" customWidth="1"/>
    <col min="20" max="20" width="14.21875" style="23" bestFit="1" customWidth="1"/>
    <col min="21" max="21" width="15.77734375" style="23" bestFit="1" customWidth="1"/>
    <col min="22" max="22" width="17.77734375" style="23" bestFit="1" customWidth="1"/>
    <col min="23" max="23" width="10.88671875" style="23" bestFit="1" customWidth="1"/>
    <col min="24" max="25" width="12.44140625" style="23" bestFit="1" customWidth="1"/>
    <col min="27" max="27" width="29.33203125" bestFit="1" customWidth="1"/>
    <col min="28" max="28" width="10" bestFit="1" customWidth="1"/>
    <col min="29" max="29" width="17.5546875" bestFit="1" customWidth="1"/>
  </cols>
  <sheetData>
    <row r="1" spans="1:33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4" t="s">
        <v>176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0" t="s">
        <v>172</v>
      </c>
      <c r="Q1" s="3" t="s">
        <v>14</v>
      </c>
      <c r="R1" s="26" t="s">
        <v>174</v>
      </c>
      <c r="S1" s="28" t="s">
        <v>173</v>
      </c>
      <c r="T1" s="32" t="s">
        <v>175</v>
      </c>
      <c r="U1" s="14"/>
      <c r="V1" s="14"/>
      <c r="W1" s="14"/>
      <c r="X1" s="14"/>
      <c r="Y1" s="14"/>
    </row>
    <row r="2" spans="1:33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25" t="str">
        <f>IF(G2:G501&lt;&gt; "Marketplace","Online","Marketplace")</f>
        <v>Online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7</v>
      </c>
      <c r="N2" s="1">
        <v>2843.87</v>
      </c>
      <c r="O2" s="1">
        <v>0</v>
      </c>
      <c r="P2" s="31" t="str">
        <f>IF(O2&gt;10%,"Heavy","Normal")</f>
        <v>Normal</v>
      </c>
      <c r="Q2" s="1">
        <v>19907.09</v>
      </c>
      <c r="R2" s="27" t="str">
        <f>IF(AND($Q$2:$Q$501 &gt; 5000, $O$2:$O$501&lt;10),"Eligible","Not")</f>
        <v>Eligible</v>
      </c>
      <c r="S2" s="29" t="str">
        <f>IF(Q2&gt;=7000,"Excellent",(IF(Q2&gt;=4000,"Good","Average")))</f>
        <v>Excellent</v>
      </c>
      <c r="T2" s="33" t="str">
        <f>IF(OR(Q2&gt;7000,M2&gt;5),"Priority order","Normal ")</f>
        <v>Priority order</v>
      </c>
      <c r="V2" s="15"/>
      <c r="AA2" t="s">
        <v>159</v>
      </c>
      <c r="AG2" t="s">
        <v>144</v>
      </c>
    </row>
    <row r="3" spans="1:33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25" t="str">
        <f t="shared" ref="H3:H66" si="0">IF(G3:G502&lt;&gt; "Marketplace","Online","Marketplace")</f>
        <v>Online</v>
      </c>
      <c r="I3" s="1" t="s">
        <v>25</v>
      </c>
      <c r="J3" s="1" t="s">
        <v>26</v>
      </c>
      <c r="K3" s="1" t="s">
        <v>27</v>
      </c>
      <c r="L3" s="1" t="s">
        <v>28</v>
      </c>
      <c r="M3" s="1">
        <v>9</v>
      </c>
      <c r="N3" s="1">
        <v>2525.23</v>
      </c>
      <c r="O3" s="1">
        <v>5</v>
      </c>
      <c r="P3" s="31" t="str">
        <f t="shared" ref="P3:P66" si="1">IF(O3&gt;10%,"Heavy","Normal")</f>
        <v>Heavy</v>
      </c>
      <c r="Q3" s="1">
        <v>21590.720000000001</v>
      </c>
      <c r="R3" s="27" t="str">
        <f t="shared" ref="R3:R66" si="2">IF(AND($Q$2:$Q$501 &gt; 5000, $O$2:$O$501&lt;10),"Eligible","Not")</f>
        <v>Eligible</v>
      </c>
      <c r="S3" s="29" t="str">
        <f t="shared" ref="S3:S66" si="3">IF(Q3&gt;=7000,"Excellent",(IF(Q3&gt;=4000,"Good","Average")))</f>
        <v>Excellent</v>
      </c>
      <c r="T3" s="33" t="str">
        <f t="shared" ref="T3:T66" si="4">IF(OR(Q3&gt;7000,M3&gt;5),"Priority order","Normal ")</f>
        <v>Priority order</v>
      </c>
      <c r="V3" s="15"/>
      <c r="AA3" s="22"/>
      <c r="AG3" t="s">
        <v>145</v>
      </c>
    </row>
    <row r="4" spans="1:33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25" t="str">
        <f t="shared" si="0"/>
        <v>Marketplace</v>
      </c>
      <c r="I4" s="1" t="s">
        <v>25</v>
      </c>
      <c r="J4" s="1" t="s">
        <v>31</v>
      </c>
      <c r="K4" s="1" t="s">
        <v>32</v>
      </c>
      <c r="L4" s="1" t="s">
        <v>33</v>
      </c>
      <c r="M4" s="1">
        <v>6</v>
      </c>
      <c r="N4" s="1">
        <v>3474.34</v>
      </c>
      <c r="O4" s="1">
        <v>15</v>
      </c>
      <c r="P4" s="31" t="str">
        <f t="shared" si="1"/>
        <v>Heavy</v>
      </c>
      <c r="Q4" s="1">
        <v>17719.13</v>
      </c>
      <c r="R4" s="27" t="str">
        <f t="shared" si="2"/>
        <v>Not</v>
      </c>
      <c r="S4" s="29" t="str">
        <f t="shared" si="3"/>
        <v>Excellent</v>
      </c>
      <c r="T4" s="33" t="str">
        <f t="shared" si="4"/>
        <v>Priority order</v>
      </c>
      <c r="V4" s="15"/>
      <c r="AC4" t="s">
        <v>30</v>
      </c>
      <c r="AG4" t="s">
        <v>146</v>
      </c>
    </row>
    <row r="5" spans="1:33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25" t="str">
        <f t="shared" si="0"/>
        <v>Online</v>
      </c>
      <c r="I5" s="1" t="s">
        <v>35</v>
      </c>
      <c r="J5" s="1" t="s">
        <v>26</v>
      </c>
      <c r="K5" s="1" t="s">
        <v>36</v>
      </c>
      <c r="L5" s="1" t="s">
        <v>21</v>
      </c>
      <c r="M5" s="1">
        <v>1</v>
      </c>
      <c r="N5" s="1">
        <v>1008.79</v>
      </c>
      <c r="O5" s="1">
        <v>15</v>
      </c>
      <c r="P5" s="31" t="str">
        <f t="shared" si="1"/>
        <v>Heavy</v>
      </c>
      <c r="Q5" s="1">
        <v>857.47</v>
      </c>
      <c r="R5" s="27" t="str">
        <f t="shared" si="2"/>
        <v>Not</v>
      </c>
      <c r="S5" s="29" t="str">
        <f t="shared" si="3"/>
        <v>Average</v>
      </c>
      <c r="T5" s="33" t="str">
        <f t="shared" si="4"/>
        <v xml:space="preserve">Normal </v>
      </c>
      <c r="V5" s="15"/>
      <c r="AA5" s="1" t="s">
        <v>49</v>
      </c>
      <c r="AG5" t="s">
        <v>147</v>
      </c>
    </row>
    <row r="6" spans="1:33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25" t="str">
        <f t="shared" si="0"/>
        <v>Marketplace</v>
      </c>
      <c r="I6" s="1" t="s">
        <v>18</v>
      </c>
      <c r="J6" s="1" t="s">
        <v>31</v>
      </c>
      <c r="K6" s="1" t="s">
        <v>39</v>
      </c>
      <c r="L6" s="1" t="s">
        <v>21</v>
      </c>
      <c r="M6" s="1">
        <v>7</v>
      </c>
      <c r="N6" s="1">
        <v>3511.47</v>
      </c>
      <c r="O6" s="1">
        <v>20</v>
      </c>
      <c r="P6" s="31" t="str">
        <f t="shared" si="1"/>
        <v>Heavy</v>
      </c>
      <c r="Q6" s="1">
        <v>19664.23</v>
      </c>
      <c r="R6" s="27" t="str">
        <f t="shared" si="2"/>
        <v>Not</v>
      </c>
      <c r="S6" s="29" t="str">
        <f t="shared" si="3"/>
        <v>Excellent</v>
      </c>
      <c r="T6" s="33" t="str">
        <f t="shared" si="4"/>
        <v>Priority order</v>
      </c>
      <c r="V6" s="15"/>
      <c r="AG6" t="s">
        <v>148</v>
      </c>
    </row>
    <row r="7" spans="1:33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25" t="str">
        <f t="shared" si="0"/>
        <v>Online</v>
      </c>
      <c r="I7" s="1" t="s">
        <v>42</v>
      </c>
      <c r="J7" s="1" t="s">
        <v>19</v>
      </c>
      <c r="K7" s="1" t="s">
        <v>43</v>
      </c>
      <c r="L7" s="1" t="s">
        <v>33</v>
      </c>
      <c r="M7" s="1">
        <v>3</v>
      </c>
      <c r="N7" s="1">
        <v>3189.55</v>
      </c>
      <c r="O7" s="1">
        <v>10</v>
      </c>
      <c r="P7" s="31" t="str">
        <f t="shared" si="1"/>
        <v>Heavy</v>
      </c>
      <c r="Q7" s="1">
        <v>8611.7800000000007</v>
      </c>
      <c r="R7" s="27" t="str">
        <f t="shared" si="2"/>
        <v>Not</v>
      </c>
      <c r="S7" s="29" t="str">
        <f t="shared" si="3"/>
        <v>Excellent</v>
      </c>
      <c r="T7" s="33" t="str">
        <f t="shared" si="4"/>
        <v>Priority order</v>
      </c>
      <c r="V7" s="15"/>
      <c r="AG7" t="s">
        <v>149</v>
      </c>
    </row>
    <row r="8" spans="1:33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25" t="str">
        <f t="shared" si="0"/>
        <v>Online</v>
      </c>
      <c r="I8" s="1" t="s">
        <v>44</v>
      </c>
      <c r="J8" s="1" t="s">
        <v>31</v>
      </c>
      <c r="K8" s="1" t="s">
        <v>32</v>
      </c>
      <c r="L8" s="1" t="s">
        <v>45</v>
      </c>
      <c r="M8" s="1">
        <v>5</v>
      </c>
      <c r="N8" s="1">
        <v>3030.42</v>
      </c>
      <c r="O8" s="1">
        <v>10</v>
      </c>
      <c r="P8" s="31" t="str">
        <f t="shared" si="1"/>
        <v>Heavy</v>
      </c>
      <c r="Q8" s="1">
        <v>13636.89</v>
      </c>
      <c r="R8" s="27" t="str">
        <f t="shared" si="2"/>
        <v>Not</v>
      </c>
      <c r="S8" s="29" t="str">
        <f t="shared" si="3"/>
        <v>Excellent</v>
      </c>
      <c r="T8" s="33" t="str">
        <f t="shared" si="4"/>
        <v>Priority order</v>
      </c>
      <c r="V8" s="15"/>
      <c r="AG8" t="s">
        <v>158</v>
      </c>
    </row>
    <row r="9" spans="1:33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25" t="str">
        <f t="shared" si="0"/>
        <v>Online</v>
      </c>
      <c r="I9" s="1" t="s">
        <v>18</v>
      </c>
      <c r="J9" s="1" t="s">
        <v>31</v>
      </c>
      <c r="K9" s="1" t="s">
        <v>32</v>
      </c>
      <c r="L9" s="1" t="s">
        <v>47</v>
      </c>
      <c r="M9" s="1">
        <v>4</v>
      </c>
      <c r="N9" s="1">
        <v>2310.83</v>
      </c>
      <c r="O9" s="1">
        <v>10</v>
      </c>
      <c r="P9" s="31" t="str">
        <f t="shared" si="1"/>
        <v>Heavy</v>
      </c>
      <c r="Q9" s="1">
        <v>8318.99</v>
      </c>
      <c r="R9" s="27" t="str">
        <f t="shared" si="2"/>
        <v>Not</v>
      </c>
      <c r="S9" s="29" t="str">
        <f t="shared" si="3"/>
        <v>Excellent</v>
      </c>
      <c r="T9" s="33" t="str">
        <f t="shared" si="4"/>
        <v>Priority order</v>
      </c>
      <c r="V9" s="15"/>
      <c r="AG9" t="s">
        <v>155</v>
      </c>
    </row>
    <row r="10" spans="1:33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25" t="str">
        <f t="shared" si="0"/>
        <v>Online</v>
      </c>
      <c r="I10" s="1" t="s">
        <v>25</v>
      </c>
      <c r="J10" s="1" t="s">
        <v>31</v>
      </c>
      <c r="K10" s="1" t="s">
        <v>48</v>
      </c>
      <c r="L10" s="1" t="s">
        <v>28</v>
      </c>
      <c r="M10" s="1">
        <v>5</v>
      </c>
      <c r="N10" s="1">
        <v>1098.04</v>
      </c>
      <c r="O10" s="1">
        <v>15</v>
      </c>
      <c r="P10" s="31" t="str">
        <f t="shared" si="1"/>
        <v>Heavy</v>
      </c>
      <c r="Q10" s="1">
        <v>4666.67</v>
      </c>
      <c r="R10" s="27" t="str">
        <f t="shared" si="2"/>
        <v>Not</v>
      </c>
      <c r="S10" s="29" t="str">
        <f t="shared" si="3"/>
        <v>Good</v>
      </c>
      <c r="T10" s="33" t="str">
        <f t="shared" si="4"/>
        <v xml:space="preserve">Normal </v>
      </c>
      <c r="V10" s="15"/>
      <c r="AA10" s="1"/>
      <c r="AB10" s="3" t="s">
        <v>49</v>
      </c>
      <c r="AC10" s="3" t="s">
        <v>24</v>
      </c>
      <c r="AG10" t="s">
        <v>156</v>
      </c>
    </row>
    <row r="11" spans="1:33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25" t="str">
        <f t="shared" si="0"/>
        <v>Online</v>
      </c>
      <c r="I11" s="1" t="s">
        <v>35</v>
      </c>
      <c r="J11" s="1" t="s">
        <v>49</v>
      </c>
      <c r="K11" s="1" t="s">
        <v>50</v>
      </c>
      <c r="L11" s="1" t="s">
        <v>47</v>
      </c>
      <c r="M11" s="1">
        <v>5</v>
      </c>
      <c r="N11" s="1">
        <v>1780.66</v>
      </c>
      <c r="O11" s="1">
        <v>20</v>
      </c>
      <c r="P11" s="31" t="str">
        <f t="shared" si="1"/>
        <v>Heavy</v>
      </c>
      <c r="Q11" s="1">
        <v>7122.64</v>
      </c>
      <c r="R11" s="27" t="str">
        <f t="shared" si="2"/>
        <v>Not</v>
      </c>
      <c r="S11" s="29" t="str">
        <f t="shared" si="3"/>
        <v>Excellent</v>
      </c>
      <c r="T11" s="33" t="str">
        <f t="shared" si="4"/>
        <v>Priority order</v>
      </c>
      <c r="V11" s="15"/>
      <c r="Z11" s="12" t="s">
        <v>171</v>
      </c>
      <c r="AA11" s="3" t="s">
        <v>150</v>
      </c>
      <c r="AB11" s="1">
        <f>SUMIF(J2:J501, AB10, Q2:Q501)</f>
        <v>742761.89</v>
      </c>
      <c r="AC11" s="1">
        <f>SUMIFS(Q2:Q501,J2:J501,AB10,G2:G501,AC10)</f>
        <v>371838.50000000012</v>
      </c>
      <c r="AG11" t="s">
        <v>157</v>
      </c>
    </row>
    <row r="12" spans="1:33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25" t="str">
        <f t="shared" si="0"/>
        <v>Online</v>
      </c>
      <c r="I12" s="1" t="s">
        <v>35</v>
      </c>
      <c r="J12" s="1" t="s">
        <v>49</v>
      </c>
      <c r="K12" s="1" t="s">
        <v>50</v>
      </c>
      <c r="L12" s="1" t="s">
        <v>33</v>
      </c>
      <c r="M12" s="1">
        <v>6</v>
      </c>
      <c r="N12" s="1">
        <v>3205.25</v>
      </c>
      <c r="O12" s="1">
        <v>0</v>
      </c>
      <c r="P12" s="31" t="str">
        <f t="shared" si="1"/>
        <v>Normal</v>
      </c>
      <c r="Q12" s="1">
        <v>19231.5</v>
      </c>
      <c r="R12" s="27" t="str">
        <f t="shared" si="2"/>
        <v>Eligible</v>
      </c>
      <c r="S12" s="29" t="str">
        <f t="shared" si="3"/>
        <v>Excellent</v>
      </c>
      <c r="T12" s="33" t="str">
        <f t="shared" si="4"/>
        <v>Priority order</v>
      </c>
      <c r="V12" s="15"/>
    </row>
    <row r="13" spans="1:33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25" t="str">
        <f t="shared" si="0"/>
        <v>Online</v>
      </c>
      <c r="I13" s="1" t="s">
        <v>44</v>
      </c>
      <c r="J13" s="1" t="s">
        <v>49</v>
      </c>
      <c r="K13" s="1" t="s">
        <v>51</v>
      </c>
      <c r="L13" s="1" t="s">
        <v>21</v>
      </c>
      <c r="M13" s="1">
        <v>6</v>
      </c>
      <c r="N13" s="1">
        <v>272.35000000000002</v>
      </c>
      <c r="O13" s="1">
        <v>5</v>
      </c>
      <c r="P13" s="31" t="str">
        <f t="shared" si="1"/>
        <v>Heavy</v>
      </c>
      <c r="Q13" s="1">
        <v>1552.39</v>
      </c>
      <c r="R13" s="27" t="str">
        <f t="shared" si="2"/>
        <v>Not</v>
      </c>
      <c r="S13" s="29" t="str">
        <f t="shared" si="3"/>
        <v>Average</v>
      </c>
      <c r="T13" s="33" t="str">
        <f t="shared" si="4"/>
        <v>Priority order</v>
      </c>
      <c r="V13" s="15"/>
    </row>
    <row r="14" spans="1:33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25" t="str">
        <f t="shared" si="0"/>
        <v>Online</v>
      </c>
      <c r="I14" s="1" t="s">
        <v>35</v>
      </c>
      <c r="J14" s="1" t="s">
        <v>19</v>
      </c>
      <c r="K14" s="1" t="s">
        <v>43</v>
      </c>
      <c r="L14" s="1" t="s">
        <v>21</v>
      </c>
      <c r="M14" s="1">
        <v>8</v>
      </c>
      <c r="N14" s="1">
        <v>3160.9</v>
      </c>
      <c r="O14" s="1">
        <v>0</v>
      </c>
      <c r="P14" s="31" t="str">
        <f t="shared" si="1"/>
        <v>Normal</v>
      </c>
      <c r="Q14" s="1">
        <v>25287.200000000001</v>
      </c>
      <c r="R14" s="27" t="str">
        <f t="shared" si="2"/>
        <v>Eligible</v>
      </c>
      <c r="S14" s="29" t="str">
        <f t="shared" si="3"/>
        <v>Excellent</v>
      </c>
      <c r="T14" s="33" t="str">
        <f t="shared" si="4"/>
        <v>Priority order</v>
      </c>
      <c r="V14" s="15"/>
      <c r="Z14" s="12">
        <v>5</v>
      </c>
      <c r="AA14" s="3"/>
      <c r="AB14" s="3" t="s">
        <v>52</v>
      </c>
    </row>
    <row r="15" spans="1:33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25" t="str">
        <f t="shared" si="0"/>
        <v>Marketplace</v>
      </c>
      <c r="I15" s="1" t="s">
        <v>35</v>
      </c>
      <c r="J15" s="1" t="s">
        <v>26</v>
      </c>
      <c r="K15" s="1" t="s">
        <v>36</v>
      </c>
      <c r="L15" s="1" t="s">
        <v>28</v>
      </c>
      <c r="M15" s="1">
        <v>8</v>
      </c>
      <c r="N15" s="1">
        <v>1074.27</v>
      </c>
      <c r="O15" s="1">
        <v>15</v>
      </c>
      <c r="P15" s="31" t="str">
        <f t="shared" si="1"/>
        <v>Heavy</v>
      </c>
      <c r="Q15" s="1">
        <v>7305.04</v>
      </c>
      <c r="R15" s="27" t="str">
        <f t="shared" si="2"/>
        <v>Not</v>
      </c>
      <c r="S15" s="29" t="str">
        <f t="shared" si="3"/>
        <v>Excellent</v>
      </c>
      <c r="T15" s="33" t="str">
        <f t="shared" si="4"/>
        <v>Priority order</v>
      </c>
      <c r="V15" s="15"/>
      <c r="AA15" s="3" t="s">
        <v>151</v>
      </c>
      <c r="AB15" s="3">
        <f>COUNTIF(J2:J501,AB14)</f>
        <v>99</v>
      </c>
    </row>
    <row r="16" spans="1:33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25" t="str">
        <f t="shared" si="0"/>
        <v>Online</v>
      </c>
      <c r="I16" s="1" t="s">
        <v>18</v>
      </c>
      <c r="J16" s="1" t="s">
        <v>52</v>
      </c>
      <c r="K16" s="1" t="s">
        <v>53</v>
      </c>
      <c r="L16" s="1" t="s">
        <v>21</v>
      </c>
      <c r="M16" s="1">
        <v>9</v>
      </c>
      <c r="N16" s="1">
        <v>705.59</v>
      </c>
      <c r="O16" s="1">
        <v>10</v>
      </c>
      <c r="P16" s="31" t="str">
        <f t="shared" si="1"/>
        <v>Heavy</v>
      </c>
      <c r="Q16" s="1">
        <v>5715.28</v>
      </c>
      <c r="R16" s="27" t="str">
        <f t="shared" si="2"/>
        <v>Not</v>
      </c>
      <c r="S16" s="29" t="str">
        <f t="shared" si="3"/>
        <v>Good</v>
      </c>
      <c r="T16" s="33" t="str">
        <f t="shared" si="4"/>
        <v>Priority order</v>
      </c>
      <c r="V16" s="15"/>
    </row>
    <row r="17" spans="1:29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25" t="str">
        <f t="shared" si="0"/>
        <v>Online</v>
      </c>
      <c r="I17" s="1" t="s">
        <v>42</v>
      </c>
      <c r="J17" s="1" t="s">
        <v>31</v>
      </c>
      <c r="K17" s="1" t="s">
        <v>39</v>
      </c>
      <c r="L17" s="1" t="s">
        <v>21</v>
      </c>
      <c r="M17" s="1">
        <v>8</v>
      </c>
      <c r="N17" s="1">
        <v>595.45000000000005</v>
      </c>
      <c r="O17" s="1">
        <v>5</v>
      </c>
      <c r="P17" s="31" t="str">
        <f t="shared" si="1"/>
        <v>Heavy</v>
      </c>
      <c r="Q17" s="1">
        <v>4525.42</v>
      </c>
      <c r="R17" s="27" t="str">
        <f t="shared" si="2"/>
        <v>Not</v>
      </c>
      <c r="S17" s="29" t="str">
        <f t="shared" si="3"/>
        <v>Good</v>
      </c>
      <c r="T17" s="33" t="str">
        <f t="shared" si="4"/>
        <v>Priority order</v>
      </c>
      <c r="V17" s="15"/>
      <c r="Z17" s="12">
        <v>6</v>
      </c>
      <c r="AA17" s="3"/>
      <c r="AB17" s="3" t="s">
        <v>154</v>
      </c>
    </row>
    <row r="18" spans="1:29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25" t="str">
        <f t="shared" si="0"/>
        <v>Online</v>
      </c>
      <c r="I18" s="1" t="s">
        <v>44</v>
      </c>
      <c r="J18" s="1" t="s">
        <v>31</v>
      </c>
      <c r="K18" s="1" t="s">
        <v>39</v>
      </c>
      <c r="L18" s="1" t="s">
        <v>28</v>
      </c>
      <c r="M18" s="1">
        <v>2</v>
      </c>
      <c r="N18" s="1">
        <v>254.91</v>
      </c>
      <c r="O18" s="1">
        <v>15</v>
      </c>
      <c r="P18" s="31" t="str">
        <f t="shared" si="1"/>
        <v>Heavy</v>
      </c>
      <c r="Q18" s="1">
        <v>433.35</v>
      </c>
      <c r="R18" s="27" t="str">
        <f t="shared" si="2"/>
        <v>Not</v>
      </c>
      <c r="S18" s="29" t="str">
        <f t="shared" si="3"/>
        <v>Average</v>
      </c>
      <c r="T18" s="33" t="str">
        <f t="shared" si="4"/>
        <v xml:space="preserve">Normal </v>
      </c>
      <c r="V18" s="15"/>
      <c r="AA18" s="3" t="s">
        <v>153</v>
      </c>
      <c r="AB18" s="3">
        <f>COUNTIF(O2:O501, "&gt;15%")</f>
        <v>403</v>
      </c>
    </row>
    <row r="19" spans="1:29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25" t="str">
        <f t="shared" si="0"/>
        <v>Online</v>
      </c>
      <c r="I19" s="1" t="s">
        <v>18</v>
      </c>
      <c r="J19" s="1" t="s">
        <v>19</v>
      </c>
      <c r="K19" s="1" t="s">
        <v>55</v>
      </c>
      <c r="L19" s="1" t="s">
        <v>28</v>
      </c>
      <c r="M19" s="1">
        <v>1</v>
      </c>
      <c r="N19" s="1">
        <v>2165.81</v>
      </c>
      <c r="O19" s="1">
        <v>15</v>
      </c>
      <c r="P19" s="31" t="str">
        <f t="shared" si="1"/>
        <v>Heavy</v>
      </c>
      <c r="Q19" s="1">
        <v>1840.94</v>
      </c>
      <c r="R19" s="27" t="str">
        <f t="shared" si="2"/>
        <v>Not</v>
      </c>
      <c r="S19" s="29" t="str">
        <f t="shared" si="3"/>
        <v>Average</v>
      </c>
      <c r="T19" s="33" t="str">
        <f t="shared" si="4"/>
        <v xml:space="preserve">Normal </v>
      </c>
      <c r="V19" s="15"/>
    </row>
    <row r="20" spans="1:29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25" t="str">
        <f t="shared" si="0"/>
        <v>Marketplace</v>
      </c>
      <c r="I20" s="1" t="s">
        <v>42</v>
      </c>
      <c r="J20" s="1" t="s">
        <v>31</v>
      </c>
      <c r="K20" s="1" t="s">
        <v>39</v>
      </c>
      <c r="L20" s="1" t="s">
        <v>33</v>
      </c>
      <c r="M20" s="1">
        <v>2</v>
      </c>
      <c r="N20" s="1">
        <v>990.3</v>
      </c>
      <c r="O20" s="1">
        <v>15</v>
      </c>
      <c r="P20" s="31" t="str">
        <f t="shared" si="1"/>
        <v>Heavy</v>
      </c>
      <c r="Q20" s="1">
        <v>1683.51</v>
      </c>
      <c r="R20" s="27" t="str">
        <f t="shared" si="2"/>
        <v>Not</v>
      </c>
      <c r="S20" s="29" t="str">
        <f t="shared" si="3"/>
        <v>Average</v>
      </c>
      <c r="T20" s="33" t="str">
        <f t="shared" si="4"/>
        <v xml:space="preserve">Normal </v>
      </c>
      <c r="V20" s="15"/>
      <c r="Z20" s="12">
        <v>7</v>
      </c>
      <c r="AA20" s="3"/>
      <c r="AB20" s="3" t="s">
        <v>49</v>
      </c>
      <c r="AC20" s="3" t="s">
        <v>35</v>
      </c>
    </row>
    <row r="21" spans="1:29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25" t="str">
        <f t="shared" si="0"/>
        <v>Online</v>
      </c>
      <c r="I21" s="1" t="s">
        <v>18</v>
      </c>
      <c r="J21" s="1" t="s">
        <v>49</v>
      </c>
      <c r="K21" s="1" t="s">
        <v>51</v>
      </c>
      <c r="L21" s="1" t="s">
        <v>21</v>
      </c>
      <c r="M21" s="1">
        <v>2</v>
      </c>
      <c r="N21" s="1">
        <v>3959.31</v>
      </c>
      <c r="O21" s="1">
        <v>5</v>
      </c>
      <c r="P21" s="31" t="str">
        <f t="shared" si="1"/>
        <v>Heavy</v>
      </c>
      <c r="Q21" s="1">
        <v>7522.69</v>
      </c>
      <c r="R21" s="27" t="str">
        <f t="shared" si="2"/>
        <v>Eligible</v>
      </c>
      <c r="S21" s="29" t="str">
        <f t="shared" si="3"/>
        <v>Excellent</v>
      </c>
      <c r="T21" s="33" t="str">
        <f t="shared" si="4"/>
        <v>Priority order</v>
      </c>
      <c r="V21" s="15"/>
      <c r="AA21" s="3" t="s">
        <v>152</v>
      </c>
      <c r="AB21" s="3">
        <f>COUNTIFS(J2:J501,AB10,I2:I501,AC20)</f>
        <v>13</v>
      </c>
      <c r="AC21" s="3"/>
    </row>
    <row r="22" spans="1:29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25" t="str">
        <f t="shared" si="0"/>
        <v>Online</v>
      </c>
      <c r="I22" s="1" t="s">
        <v>18</v>
      </c>
      <c r="J22" s="1" t="s">
        <v>52</v>
      </c>
      <c r="K22" s="1" t="s">
        <v>56</v>
      </c>
      <c r="L22" s="1" t="s">
        <v>21</v>
      </c>
      <c r="M22" s="1">
        <v>3</v>
      </c>
      <c r="N22" s="1">
        <v>2361.58</v>
      </c>
      <c r="O22" s="1">
        <v>5</v>
      </c>
      <c r="P22" s="31" t="str">
        <f t="shared" si="1"/>
        <v>Heavy</v>
      </c>
      <c r="Q22" s="1">
        <v>6730.5</v>
      </c>
      <c r="R22" s="27" t="str">
        <f t="shared" si="2"/>
        <v>Eligible</v>
      </c>
      <c r="S22" s="29" t="str">
        <f t="shared" si="3"/>
        <v>Good</v>
      </c>
      <c r="T22" s="33" t="str">
        <f t="shared" si="4"/>
        <v xml:space="preserve">Normal </v>
      </c>
      <c r="V22" s="15"/>
    </row>
    <row r="23" spans="1:29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25" t="str">
        <f t="shared" si="0"/>
        <v>Marketplace</v>
      </c>
      <c r="I23" s="1" t="s">
        <v>35</v>
      </c>
      <c r="J23" s="1" t="s">
        <v>57</v>
      </c>
      <c r="K23" s="1" t="s">
        <v>58</v>
      </c>
      <c r="L23" s="1" t="s">
        <v>33</v>
      </c>
      <c r="M23" s="1">
        <v>7</v>
      </c>
      <c r="N23" s="1">
        <v>680.86</v>
      </c>
      <c r="O23" s="1">
        <v>20</v>
      </c>
      <c r="P23" s="31" t="str">
        <f t="shared" si="1"/>
        <v>Heavy</v>
      </c>
      <c r="Q23" s="1">
        <v>3812.82</v>
      </c>
      <c r="R23" s="27" t="str">
        <f t="shared" si="2"/>
        <v>Not</v>
      </c>
      <c r="S23" s="29" t="str">
        <f t="shared" si="3"/>
        <v>Average</v>
      </c>
      <c r="T23" s="33" t="str">
        <f t="shared" si="4"/>
        <v>Priority order</v>
      </c>
      <c r="V23" s="15"/>
    </row>
    <row r="24" spans="1:29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25" t="str">
        <f t="shared" si="0"/>
        <v>Online</v>
      </c>
      <c r="I24" s="1" t="s">
        <v>42</v>
      </c>
      <c r="J24" s="1" t="s">
        <v>31</v>
      </c>
      <c r="K24" s="1" t="s">
        <v>32</v>
      </c>
      <c r="L24" s="1" t="s">
        <v>45</v>
      </c>
      <c r="M24" s="1">
        <v>2</v>
      </c>
      <c r="N24" s="1">
        <v>2801.74</v>
      </c>
      <c r="O24" s="1">
        <v>20</v>
      </c>
      <c r="P24" s="31" t="str">
        <f t="shared" si="1"/>
        <v>Heavy</v>
      </c>
      <c r="Q24" s="1">
        <v>4482.78</v>
      </c>
      <c r="R24" s="27" t="str">
        <f t="shared" si="2"/>
        <v>Not</v>
      </c>
      <c r="S24" s="29" t="str">
        <f t="shared" si="3"/>
        <v>Good</v>
      </c>
      <c r="T24" s="33" t="str">
        <f t="shared" si="4"/>
        <v xml:space="preserve">Normal </v>
      </c>
      <c r="V24" s="15"/>
    </row>
    <row r="25" spans="1:29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25" t="str">
        <f t="shared" si="0"/>
        <v>Online</v>
      </c>
      <c r="I25" s="1" t="s">
        <v>44</v>
      </c>
      <c r="J25" s="1" t="s">
        <v>49</v>
      </c>
      <c r="K25" s="1" t="s">
        <v>51</v>
      </c>
      <c r="L25" s="1" t="s">
        <v>45</v>
      </c>
      <c r="M25" s="1">
        <v>1</v>
      </c>
      <c r="N25" s="1">
        <v>3606.31</v>
      </c>
      <c r="O25" s="1">
        <v>0</v>
      </c>
      <c r="P25" s="31" t="str">
        <f t="shared" si="1"/>
        <v>Normal</v>
      </c>
      <c r="Q25" s="1">
        <v>3606.31</v>
      </c>
      <c r="R25" s="27" t="str">
        <f t="shared" si="2"/>
        <v>Not</v>
      </c>
      <c r="S25" s="29" t="str">
        <f t="shared" si="3"/>
        <v>Average</v>
      </c>
      <c r="T25" s="33" t="str">
        <f t="shared" si="4"/>
        <v xml:space="preserve">Normal </v>
      </c>
      <c r="V25" s="15"/>
    </row>
    <row r="26" spans="1:29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25" t="str">
        <f t="shared" si="0"/>
        <v>Marketplace</v>
      </c>
      <c r="I26" s="1" t="s">
        <v>44</v>
      </c>
      <c r="J26" s="1" t="s">
        <v>57</v>
      </c>
      <c r="K26" s="1" t="s">
        <v>59</v>
      </c>
      <c r="L26" s="1" t="s">
        <v>45</v>
      </c>
      <c r="M26" s="1">
        <v>6</v>
      </c>
      <c r="N26" s="1">
        <v>3018.94</v>
      </c>
      <c r="O26" s="1">
        <v>5</v>
      </c>
      <c r="P26" s="31" t="str">
        <f t="shared" si="1"/>
        <v>Heavy</v>
      </c>
      <c r="Q26" s="1">
        <v>17207.96</v>
      </c>
      <c r="R26" s="27" t="str">
        <f t="shared" si="2"/>
        <v>Eligible</v>
      </c>
      <c r="S26" s="29" t="str">
        <f t="shared" si="3"/>
        <v>Excellent</v>
      </c>
      <c r="T26" s="33" t="str">
        <f t="shared" si="4"/>
        <v>Priority order</v>
      </c>
      <c r="V26" s="15"/>
    </row>
    <row r="27" spans="1:29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25" t="str">
        <f t="shared" si="0"/>
        <v>Marketplace</v>
      </c>
      <c r="I27" s="1" t="s">
        <v>42</v>
      </c>
      <c r="J27" s="1" t="s">
        <v>52</v>
      </c>
      <c r="K27" s="1" t="s">
        <v>60</v>
      </c>
      <c r="L27" s="1" t="s">
        <v>33</v>
      </c>
      <c r="M27" s="1">
        <v>9</v>
      </c>
      <c r="N27" s="1">
        <v>444.29</v>
      </c>
      <c r="O27" s="1">
        <v>5</v>
      </c>
      <c r="P27" s="31" t="str">
        <f t="shared" si="1"/>
        <v>Heavy</v>
      </c>
      <c r="Q27" s="1">
        <v>3798.68</v>
      </c>
      <c r="R27" s="27" t="str">
        <f t="shared" si="2"/>
        <v>Not</v>
      </c>
      <c r="S27" s="29" t="str">
        <f t="shared" si="3"/>
        <v>Average</v>
      </c>
      <c r="T27" s="33" t="str">
        <f t="shared" si="4"/>
        <v>Priority order</v>
      </c>
      <c r="V27" s="15"/>
    </row>
    <row r="28" spans="1:29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25" t="str">
        <f t="shared" si="0"/>
        <v>Online</v>
      </c>
      <c r="I28" s="1" t="s">
        <v>35</v>
      </c>
      <c r="J28" s="1" t="s">
        <v>57</v>
      </c>
      <c r="K28" s="1" t="s">
        <v>58</v>
      </c>
      <c r="L28" s="1" t="s">
        <v>21</v>
      </c>
      <c r="M28" s="1">
        <v>3</v>
      </c>
      <c r="N28" s="1">
        <v>3599.15</v>
      </c>
      <c r="O28" s="1">
        <v>5</v>
      </c>
      <c r="P28" s="31" t="str">
        <f t="shared" si="1"/>
        <v>Heavy</v>
      </c>
      <c r="Q28" s="1">
        <v>10257.58</v>
      </c>
      <c r="R28" s="27" t="str">
        <f t="shared" si="2"/>
        <v>Eligible</v>
      </c>
      <c r="S28" s="29" t="str">
        <f t="shared" si="3"/>
        <v>Excellent</v>
      </c>
      <c r="T28" s="33" t="str">
        <f t="shared" si="4"/>
        <v>Priority order</v>
      </c>
      <c r="V28" s="15"/>
    </row>
    <row r="29" spans="1:29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25" t="str">
        <f t="shared" si="0"/>
        <v>Online</v>
      </c>
      <c r="I29" s="1" t="s">
        <v>25</v>
      </c>
      <c r="J29" s="1" t="s">
        <v>49</v>
      </c>
      <c r="K29" s="1" t="s">
        <v>51</v>
      </c>
      <c r="L29" s="1" t="s">
        <v>33</v>
      </c>
      <c r="M29" s="1">
        <v>6</v>
      </c>
      <c r="N29" s="1">
        <v>3206.63</v>
      </c>
      <c r="O29" s="1">
        <v>20</v>
      </c>
      <c r="P29" s="31" t="str">
        <f t="shared" si="1"/>
        <v>Heavy</v>
      </c>
      <c r="Q29" s="1">
        <v>15391.82</v>
      </c>
      <c r="R29" s="27" t="str">
        <f t="shared" si="2"/>
        <v>Not</v>
      </c>
      <c r="S29" s="29" t="str">
        <f t="shared" si="3"/>
        <v>Excellent</v>
      </c>
      <c r="T29" s="33" t="str">
        <f t="shared" si="4"/>
        <v>Priority order</v>
      </c>
      <c r="V29" s="15"/>
    </row>
    <row r="30" spans="1:29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25" t="str">
        <f t="shared" si="0"/>
        <v>Online</v>
      </c>
      <c r="I30" s="1" t="s">
        <v>18</v>
      </c>
      <c r="J30" s="1" t="s">
        <v>26</v>
      </c>
      <c r="K30" s="1" t="s">
        <v>27</v>
      </c>
      <c r="L30" s="1" t="s">
        <v>33</v>
      </c>
      <c r="M30" s="1">
        <v>3</v>
      </c>
      <c r="N30" s="1">
        <v>759.47</v>
      </c>
      <c r="O30" s="1">
        <v>15</v>
      </c>
      <c r="P30" s="31" t="str">
        <f t="shared" si="1"/>
        <v>Heavy</v>
      </c>
      <c r="Q30" s="1">
        <v>1936.65</v>
      </c>
      <c r="R30" s="27" t="str">
        <f t="shared" si="2"/>
        <v>Not</v>
      </c>
      <c r="S30" s="29" t="str">
        <f t="shared" si="3"/>
        <v>Average</v>
      </c>
      <c r="T30" s="33" t="str">
        <f t="shared" si="4"/>
        <v xml:space="preserve">Normal </v>
      </c>
      <c r="V30" s="15"/>
    </row>
    <row r="31" spans="1:29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25" t="str">
        <f t="shared" si="0"/>
        <v>Marketplace</v>
      </c>
      <c r="I31" s="1" t="s">
        <v>35</v>
      </c>
      <c r="J31" s="1" t="s">
        <v>26</v>
      </c>
      <c r="K31" s="1" t="s">
        <v>61</v>
      </c>
      <c r="L31" s="1" t="s">
        <v>45</v>
      </c>
      <c r="M31" s="1">
        <v>1</v>
      </c>
      <c r="N31" s="1">
        <v>349.38</v>
      </c>
      <c r="O31" s="1">
        <v>10</v>
      </c>
      <c r="P31" s="31" t="str">
        <f t="shared" si="1"/>
        <v>Heavy</v>
      </c>
      <c r="Q31" s="1">
        <v>314.44</v>
      </c>
      <c r="R31" s="27" t="str">
        <f t="shared" si="2"/>
        <v>Not</v>
      </c>
      <c r="S31" s="29" t="str">
        <f t="shared" si="3"/>
        <v>Average</v>
      </c>
      <c r="T31" s="33" t="str">
        <f t="shared" si="4"/>
        <v xml:space="preserve">Normal </v>
      </c>
      <c r="V31" s="15"/>
    </row>
    <row r="32" spans="1:29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25" t="str">
        <f t="shared" si="0"/>
        <v>Marketplace</v>
      </c>
      <c r="I32" s="1" t="s">
        <v>42</v>
      </c>
      <c r="J32" s="1" t="s">
        <v>57</v>
      </c>
      <c r="K32" s="1" t="s">
        <v>62</v>
      </c>
      <c r="L32" s="1" t="s">
        <v>47</v>
      </c>
      <c r="M32" s="1">
        <v>5</v>
      </c>
      <c r="N32" s="1">
        <v>2295.65</v>
      </c>
      <c r="O32" s="1">
        <v>20</v>
      </c>
      <c r="P32" s="31" t="str">
        <f t="shared" si="1"/>
        <v>Heavy</v>
      </c>
      <c r="Q32" s="1">
        <v>9182.6</v>
      </c>
      <c r="R32" s="27" t="str">
        <f t="shared" si="2"/>
        <v>Not</v>
      </c>
      <c r="S32" s="29" t="str">
        <f t="shared" si="3"/>
        <v>Excellent</v>
      </c>
      <c r="T32" s="33" t="str">
        <f t="shared" si="4"/>
        <v>Priority order</v>
      </c>
      <c r="V32" s="15"/>
    </row>
    <row r="33" spans="1:22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25" t="str">
        <f t="shared" si="0"/>
        <v>Marketplace</v>
      </c>
      <c r="I33" s="1" t="s">
        <v>18</v>
      </c>
      <c r="J33" s="1" t="s">
        <v>19</v>
      </c>
      <c r="K33" s="1" t="s">
        <v>43</v>
      </c>
      <c r="L33" s="1" t="s">
        <v>21</v>
      </c>
      <c r="M33" s="1">
        <v>4</v>
      </c>
      <c r="N33" s="1">
        <v>750.74</v>
      </c>
      <c r="O33" s="1">
        <v>5</v>
      </c>
      <c r="P33" s="31" t="str">
        <f t="shared" si="1"/>
        <v>Heavy</v>
      </c>
      <c r="Q33" s="1">
        <v>2852.81</v>
      </c>
      <c r="R33" s="27" t="str">
        <f t="shared" si="2"/>
        <v>Not</v>
      </c>
      <c r="S33" s="29" t="str">
        <f t="shared" si="3"/>
        <v>Average</v>
      </c>
      <c r="T33" s="33" t="str">
        <f t="shared" si="4"/>
        <v xml:space="preserve">Normal </v>
      </c>
      <c r="V33" s="15"/>
    </row>
    <row r="34" spans="1:22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25" t="str">
        <f t="shared" si="0"/>
        <v>Online</v>
      </c>
      <c r="I34" s="1" t="s">
        <v>44</v>
      </c>
      <c r="J34" s="1" t="s">
        <v>57</v>
      </c>
      <c r="K34" s="1" t="s">
        <v>59</v>
      </c>
      <c r="L34" s="1" t="s">
        <v>45</v>
      </c>
      <c r="M34" s="1">
        <v>7</v>
      </c>
      <c r="N34" s="1">
        <v>3363.18</v>
      </c>
      <c r="O34" s="1">
        <v>20</v>
      </c>
      <c r="P34" s="31" t="str">
        <f t="shared" si="1"/>
        <v>Heavy</v>
      </c>
      <c r="Q34" s="1">
        <v>18833.810000000001</v>
      </c>
      <c r="R34" s="27" t="str">
        <f t="shared" si="2"/>
        <v>Not</v>
      </c>
      <c r="S34" s="29" t="str">
        <f t="shared" si="3"/>
        <v>Excellent</v>
      </c>
      <c r="T34" s="33" t="str">
        <f t="shared" si="4"/>
        <v>Priority order</v>
      </c>
      <c r="V34" s="15"/>
    </row>
    <row r="35" spans="1:22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25" t="str">
        <f t="shared" si="0"/>
        <v>Marketplace</v>
      </c>
      <c r="I35" s="1" t="s">
        <v>25</v>
      </c>
      <c r="J35" s="1" t="s">
        <v>31</v>
      </c>
      <c r="K35" s="1" t="s">
        <v>48</v>
      </c>
      <c r="L35" s="1" t="s">
        <v>47</v>
      </c>
      <c r="M35" s="1">
        <v>6</v>
      </c>
      <c r="N35" s="1">
        <v>1529.59</v>
      </c>
      <c r="O35" s="1">
        <v>0</v>
      </c>
      <c r="P35" s="31" t="str">
        <f t="shared" si="1"/>
        <v>Normal</v>
      </c>
      <c r="Q35" s="1">
        <v>9177.5400000000009</v>
      </c>
      <c r="R35" s="27" t="str">
        <f t="shared" si="2"/>
        <v>Eligible</v>
      </c>
      <c r="S35" s="29" t="str">
        <f t="shared" si="3"/>
        <v>Excellent</v>
      </c>
      <c r="T35" s="33" t="str">
        <f t="shared" si="4"/>
        <v>Priority order</v>
      </c>
      <c r="V35" s="15"/>
    </row>
    <row r="36" spans="1:22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25" t="str">
        <f t="shared" si="0"/>
        <v>Marketplace</v>
      </c>
      <c r="I36" s="1" t="s">
        <v>44</v>
      </c>
      <c r="J36" s="1" t="s">
        <v>31</v>
      </c>
      <c r="K36" s="1" t="s">
        <v>48</v>
      </c>
      <c r="L36" s="1" t="s">
        <v>47</v>
      </c>
      <c r="M36" s="1">
        <v>7</v>
      </c>
      <c r="N36" s="1">
        <v>3664.64</v>
      </c>
      <c r="O36" s="1">
        <v>5</v>
      </c>
      <c r="P36" s="31" t="str">
        <f t="shared" si="1"/>
        <v>Heavy</v>
      </c>
      <c r="Q36" s="1">
        <v>24369.86</v>
      </c>
      <c r="R36" s="27" t="str">
        <f t="shared" si="2"/>
        <v>Eligible</v>
      </c>
      <c r="S36" s="29" t="str">
        <f t="shared" si="3"/>
        <v>Excellent</v>
      </c>
      <c r="T36" s="33" t="str">
        <f t="shared" si="4"/>
        <v>Priority order</v>
      </c>
      <c r="V36" s="15"/>
    </row>
    <row r="37" spans="1:22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25" t="str">
        <f t="shared" si="0"/>
        <v>Online</v>
      </c>
      <c r="I37" s="1" t="s">
        <v>42</v>
      </c>
      <c r="J37" s="1" t="s">
        <v>26</v>
      </c>
      <c r="K37" s="1" t="s">
        <v>27</v>
      </c>
      <c r="L37" s="1" t="s">
        <v>28</v>
      </c>
      <c r="M37" s="1">
        <v>5</v>
      </c>
      <c r="N37" s="1">
        <v>2327.9</v>
      </c>
      <c r="O37" s="1">
        <v>0</v>
      </c>
      <c r="P37" s="31" t="str">
        <f t="shared" si="1"/>
        <v>Normal</v>
      </c>
      <c r="Q37" s="1">
        <v>11639.5</v>
      </c>
      <c r="R37" s="27" t="str">
        <f t="shared" si="2"/>
        <v>Eligible</v>
      </c>
      <c r="S37" s="29" t="str">
        <f t="shared" si="3"/>
        <v>Excellent</v>
      </c>
      <c r="T37" s="33" t="str">
        <f t="shared" si="4"/>
        <v>Priority order</v>
      </c>
      <c r="V37" s="15"/>
    </row>
    <row r="38" spans="1:22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25" t="str">
        <f t="shared" si="0"/>
        <v>Online</v>
      </c>
      <c r="I38" s="1" t="s">
        <v>18</v>
      </c>
      <c r="J38" s="1" t="s">
        <v>19</v>
      </c>
      <c r="K38" s="1" t="s">
        <v>55</v>
      </c>
      <c r="L38" s="1" t="s">
        <v>21</v>
      </c>
      <c r="M38" s="1">
        <v>4</v>
      </c>
      <c r="N38" s="1">
        <v>853.29</v>
      </c>
      <c r="O38" s="1">
        <v>5</v>
      </c>
      <c r="P38" s="31" t="str">
        <f t="shared" si="1"/>
        <v>Heavy</v>
      </c>
      <c r="Q38" s="1">
        <v>3242.5</v>
      </c>
      <c r="R38" s="27" t="str">
        <f t="shared" si="2"/>
        <v>Not</v>
      </c>
      <c r="S38" s="29" t="str">
        <f t="shared" si="3"/>
        <v>Average</v>
      </c>
      <c r="T38" s="33" t="str">
        <f t="shared" si="4"/>
        <v xml:space="preserve">Normal </v>
      </c>
      <c r="V38" s="15"/>
    </row>
    <row r="39" spans="1:22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25" t="str">
        <f t="shared" si="0"/>
        <v>Online</v>
      </c>
      <c r="I39" s="1" t="s">
        <v>42</v>
      </c>
      <c r="J39" s="1" t="s">
        <v>49</v>
      </c>
      <c r="K39" s="1" t="s">
        <v>63</v>
      </c>
      <c r="L39" s="1" t="s">
        <v>47</v>
      </c>
      <c r="M39" s="1">
        <v>7</v>
      </c>
      <c r="N39" s="1">
        <v>687.46</v>
      </c>
      <c r="O39" s="1">
        <v>20</v>
      </c>
      <c r="P39" s="31" t="str">
        <f t="shared" si="1"/>
        <v>Heavy</v>
      </c>
      <c r="Q39" s="1">
        <v>3849.78</v>
      </c>
      <c r="R39" s="27" t="str">
        <f t="shared" si="2"/>
        <v>Not</v>
      </c>
      <c r="S39" s="29" t="str">
        <f t="shared" si="3"/>
        <v>Average</v>
      </c>
      <c r="T39" s="33" t="str">
        <f t="shared" si="4"/>
        <v>Priority order</v>
      </c>
      <c r="V39" s="15"/>
    </row>
    <row r="40" spans="1:22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25" t="str">
        <f t="shared" si="0"/>
        <v>Online</v>
      </c>
      <c r="I40" s="1" t="s">
        <v>18</v>
      </c>
      <c r="J40" s="1" t="s">
        <v>31</v>
      </c>
      <c r="K40" s="1" t="s">
        <v>48</v>
      </c>
      <c r="L40" s="1" t="s">
        <v>45</v>
      </c>
      <c r="M40" s="1">
        <v>7</v>
      </c>
      <c r="N40" s="1">
        <v>2369.42</v>
      </c>
      <c r="O40" s="1">
        <v>15</v>
      </c>
      <c r="P40" s="31" t="str">
        <f t="shared" si="1"/>
        <v>Heavy</v>
      </c>
      <c r="Q40" s="1">
        <v>14098.05</v>
      </c>
      <c r="R40" s="27" t="str">
        <f t="shared" si="2"/>
        <v>Not</v>
      </c>
      <c r="S40" s="29" t="str">
        <f t="shared" si="3"/>
        <v>Excellent</v>
      </c>
      <c r="T40" s="33" t="str">
        <f t="shared" si="4"/>
        <v>Priority order</v>
      </c>
      <c r="V40" s="15"/>
    </row>
    <row r="41" spans="1:22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25" t="str">
        <f t="shared" si="0"/>
        <v>Marketplace</v>
      </c>
      <c r="I41" s="1" t="s">
        <v>35</v>
      </c>
      <c r="J41" s="1" t="s">
        <v>26</v>
      </c>
      <c r="K41" s="1" t="s">
        <v>27</v>
      </c>
      <c r="L41" s="1" t="s">
        <v>28</v>
      </c>
      <c r="M41" s="1">
        <v>6</v>
      </c>
      <c r="N41" s="1">
        <v>3083.25</v>
      </c>
      <c r="O41" s="1">
        <v>10</v>
      </c>
      <c r="P41" s="31" t="str">
        <f t="shared" si="1"/>
        <v>Heavy</v>
      </c>
      <c r="Q41" s="1">
        <v>16649.55</v>
      </c>
      <c r="R41" s="27" t="str">
        <f t="shared" si="2"/>
        <v>Not</v>
      </c>
      <c r="S41" s="29" t="str">
        <f t="shared" si="3"/>
        <v>Excellent</v>
      </c>
      <c r="T41" s="33" t="str">
        <f t="shared" si="4"/>
        <v>Priority order</v>
      </c>
      <c r="V41" s="15"/>
    </row>
    <row r="42" spans="1:22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25" t="str">
        <f t="shared" si="0"/>
        <v>Online</v>
      </c>
      <c r="I42" s="1" t="s">
        <v>25</v>
      </c>
      <c r="J42" s="1" t="s">
        <v>52</v>
      </c>
      <c r="K42" s="1" t="s">
        <v>64</v>
      </c>
      <c r="L42" s="1" t="s">
        <v>21</v>
      </c>
      <c r="M42" s="1">
        <v>8</v>
      </c>
      <c r="N42" s="1">
        <v>3158.8</v>
      </c>
      <c r="O42" s="1">
        <v>0</v>
      </c>
      <c r="P42" s="31" t="str">
        <f t="shared" si="1"/>
        <v>Normal</v>
      </c>
      <c r="Q42" s="1">
        <v>25270.400000000001</v>
      </c>
      <c r="R42" s="27" t="str">
        <f t="shared" si="2"/>
        <v>Eligible</v>
      </c>
      <c r="S42" s="29" t="str">
        <f t="shared" si="3"/>
        <v>Excellent</v>
      </c>
      <c r="T42" s="33" t="str">
        <f t="shared" si="4"/>
        <v>Priority order</v>
      </c>
      <c r="V42" s="15"/>
    </row>
    <row r="43" spans="1:22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25" t="str">
        <f t="shared" si="0"/>
        <v>Online</v>
      </c>
      <c r="I43" s="1" t="s">
        <v>35</v>
      </c>
      <c r="J43" s="1" t="s">
        <v>26</v>
      </c>
      <c r="K43" s="1" t="s">
        <v>27</v>
      </c>
      <c r="L43" s="1" t="s">
        <v>33</v>
      </c>
      <c r="M43" s="1">
        <v>4</v>
      </c>
      <c r="N43" s="1">
        <v>1211.67</v>
      </c>
      <c r="O43" s="1">
        <v>20</v>
      </c>
      <c r="P43" s="31" t="str">
        <f t="shared" si="1"/>
        <v>Heavy</v>
      </c>
      <c r="Q43" s="1">
        <v>3877.34</v>
      </c>
      <c r="R43" s="27" t="str">
        <f t="shared" si="2"/>
        <v>Not</v>
      </c>
      <c r="S43" s="29" t="str">
        <f t="shared" si="3"/>
        <v>Average</v>
      </c>
      <c r="T43" s="33" t="str">
        <f t="shared" si="4"/>
        <v xml:space="preserve">Normal </v>
      </c>
      <c r="V43" s="15"/>
    </row>
    <row r="44" spans="1:22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25" t="str">
        <f t="shared" si="0"/>
        <v>Online</v>
      </c>
      <c r="I44" s="1" t="s">
        <v>35</v>
      </c>
      <c r="J44" s="1" t="s">
        <v>31</v>
      </c>
      <c r="K44" s="1" t="s">
        <v>48</v>
      </c>
      <c r="L44" s="1" t="s">
        <v>45</v>
      </c>
      <c r="M44" s="1">
        <v>5</v>
      </c>
      <c r="N44" s="1">
        <v>936.35</v>
      </c>
      <c r="O44" s="1">
        <v>15</v>
      </c>
      <c r="P44" s="31" t="str">
        <f t="shared" si="1"/>
        <v>Heavy</v>
      </c>
      <c r="Q44" s="1">
        <v>3979.49</v>
      </c>
      <c r="R44" s="27" t="str">
        <f t="shared" si="2"/>
        <v>Not</v>
      </c>
      <c r="S44" s="29" t="str">
        <f t="shared" si="3"/>
        <v>Average</v>
      </c>
      <c r="T44" s="33" t="str">
        <f t="shared" si="4"/>
        <v xml:space="preserve">Normal </v>
      </c>
      <c r="V44" s="15"/>
    </row>
    <row r="45" spans="1:22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25" t="str">
        <f t="shared" si="0"/>
        <v>Online</v>
      </c>
      <c r="I45" s="1" t="s">
        <v>42</v>
      </c>
      <c r="J45" s="1" t="s">
        <v>31</v>
      </c>
      <c r="K45" s="1" t="s">
        <v>48</v>
      </c>
      <c r="L45" s="1" t="s">
        <v>47</v>
      </c>
      <c r="M45" s="1">
        <v>4</v>
      </c>
      <c r="N45" s="1">
        <v>214.51</v>
      </c>
      <c r="O45" s="1">
        <v>20</v>
      </c>
      <c r="P45" s="31" t="str">
        <f t="shared" si="1"/>
        <v>Heavy</v>
      </c>
      <c r="Q45" s="1">
        <v>686.43</v>
      </c>
      <c r="R45" s="27" t="str">
        <f t="shared" si="2"/>
        <v>Not</v>
      </c>
      <c r="S45" s="29" t="str">
        <f t="shared" si="3"/>
        <v>Average</v>
      </c>
      <c r="T45" s="33" t="str">
        <f t="shared" si="4"/>
        <v xml:space="preserve">Normal </v>
      </c>
      <c r="V45" s="15"/>
    </row>
    <row r="46" spans="1:22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25" t="str">
        <f t="shared" si="0"/>
        <v>Online</v>
      </c>
      <c r="I46" s="1" t="s">
        <v>25</v>
      </c>
      <c r="J46" s="1" t="s">
        <v>26</v>
      </c>
      <c r="K46" s="1" t="s">
        <v>61</v>
      </c>
      <c r="L46" s="1" t="s">
        <v>47</v>
      </c>
      <c r="M46" s="1">
        <v>1</v>
      </c>
      <c r="N46" s="1">
        <v>2764.92</v>
      </c>
      <c r="O46" s="1">
        <v>0</v>
      </c>
      <c r="P46" s="31" t="str">
        <f t="shared" si="1"/>
        <v>Normal</v>
      </c>
      <c r="Q46" s="1">
        <v>2764.92</v>
      </c>
      <c r="R46" s="27" t="str">
        <f t="shared" si="2"/>
        <v>Not</v>
      </c>
      <c r="S46" s="29" t="str">
        <f t="shared" si="3"/>
        <v>Average</v>
      </c>
      <c r="T46" s="33" t="str">
        <f t="shared" si="4"/>
        <v xml:space="preserve">Normal </v>
      </c>
      <c r="V46" s="15"/>
    </row>
    <row r="47" spans="1:22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25" t="str">
        <f t="shared" si="0"/>
        <v>Online</v>
      </c>
      <c r="I47" s="1" t="s">
        <v>18</v>
      </c>
      <c r="J47" s="1" t="s">
        <v>49</v>
      </c>
      <c r="K47" s="1" t="s">
        <v>51</v>
      </c>
      <c r="L47" s="1" t="s">
        <v>45</v>
      </c>
      <c r="M47" s="1">
        <v>8</v>
      </c>
      <c r="N47" s="1">
        <v>444.79</v>
      </c>
      <c r="O47" s="1">
        <v>10</v>
      </c>
      <c r="P47" s="31" t="str">
        <f t="shared" si="1"/>
        <v>Heavy</v>
      </c>
      <c r="Q47" s="1">
        <v>3202.49</v>
      </c>
      <c r="R47" s="27" t="str">
        <f t="shared" si="2"/>
        <v>Not</v>
      </c>
      <c r="S47" s="29" t="str">
        <f t="shared" si="3"/>
        <v>Average</v>
      </c>
      <c r="T47" s="33" t="str">
        <f t="shared" si="4"/>
        <v>Priority order</v>
      </c>
      <c r="V47" s="15"/>
    </row>
    <row r="48" spans="1:22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25" t="str">
        <f t="shared" si="0"/>
        <v>Online</v>
      </c>
      <c r="I48" s="1" t="s">
        <v>18</v>
      </c>
      <c r="J48" s="1" t="s">
        <v>57</v>
      </c>
      <c r="K48" s="1" t="s">
        <v>62</v>
      </c>
      <c r="L48" s="1" t="s">
        <v>47</v>
      </c>
      <c r="M48" s="1">
        <v>1</v>
      </c>
      <c r="N48" s="1">
        <v>1769.93</v>
      </c>
      <c r="O48" s="1">
        <v>20</v>
      </c>
      <c r="P48" s="31" t="str">
        <f t="shared" si="1"/>
        <v>Heavy</v>
      </c>
      <c r="Q48" s="1">
        <v>1415.94</v>
      </c>
      <c r="R48" s="27" t="str">
        <f t="shared" si="2"/>
        <v>Not</v>
      </c>
      <c r="S48" s="29" t="str">
        <f t="shared" si="3"/>
        <v>Average</v>
      </c>
      <c r="T48" s="33" t="str">
        <f t="shared" si="4"/>
        <v xml:space="preserve">Normal </v>
      </c>
      <c r="V48" s="15"/>
    </row>
    <row r="49" spans="1:22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25" t="str">
        <f t="shared" si="0"/>
        <v>Online</v>
      </c>
      <c r="I49" s="1" t="s">
        <v>44</v>
      </c>
      <c r="J49" s="1" t="s">
        <v>31</v>
      </c>
      <c r="K49" s="1" t="s">
        <v>65</v>
      </c>
      <c r="L49" s="1" t="s">
        <v>28</v>
      </c>
      <c r="M49" s="1">
        <v>5</v>
      </c>
      <c r="N49" s="1">
        <v>2466.48</v>
      </c>
      <c r="O49" s="1">
        <v>5</v>
      </c>
      <c r="P49" s="31" t="str">
        <f t="shared" si="1"/>
        <v>Heavy</v>
      </c>
      <c r="Q49" s="1">
        <v>11715.78</v>
      </c>
      <c r="R49" s="27" t="str">
        <f t="shared" si="2"/>
        <v>Eligible</v>
      </c>
      <c r="S49" s="29" t="str">
        <f t="shared" si="3"/>
        <v>Excellent</v>
      </c>
      <c r="T49" s="33" t="str">
        <f t="shared" si="4"/>
        <v>Priority order</v>
      </c>
      <c r="V49" s="15"/>
    </row>
    <row r="50" spans="1:22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25" t="str">
        <f t="shared" si="0"/>
        <v>Online</v>
      </c>
      <c r="I50" s="1" t="s">
        <v>18</v>
      </c>
      <c r="J50" s="1" t="s">
        <v>26</v>
      </c>
      <c r="K50" s="1" t="s">
        <v>27</v>
      </c>
      <c r="L50" s="1" t="s">
        <v>21</v>
      </c>
      <c r="M50" s="1">
        <v>6</v>
      </c>
      <c r="N50" s="1">
        <v>3757.87</v>
      </c>
      <c r="O50" s="1">
        <v>15</v>
      </c>
      <c r="P50" s="31" t="str">
        <f t="shared" si="1"/>
        <v>Heavy</v>
      </c>
      <c r="Q50" s="1">
        <v>19165.14</v>
      </c>
      <c r="R50" s="27" t="str">
        <f t="shared" si="2"/>
        <v>Not</v>
      </c>
      <c r="S50" s="29" t="str">
        <f t="shared" si="3"/>
        <v>Excellent</v>
      </c>
      <c r="T50" s="33" t="str">
        <f t="shared" si="4"/>
        <v>Priority order</v>
      </c>
      <c r="V50" s="15"/>
    </row>
    <row r="51" spans="1:22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25" t="str">
        <f t="shared" si="0"/>
        <v>Online</v>
      </c>
      <c r="I51" s="1" t="s">
        <v>42</v>
      </c>
      <c r="J51" s="1" t="s">
        <v>26</v>
      </c>
      <c r="K51" s="1" t="s">
        <v>61</v>
      </c>
      <c r="L51" s="1" t="s">
        <v>28</v>
      </c>
      <c r="M51" s="1">
        <v>6</v>
      </c>
      <c r="N51" s="1">
        <v>1350.44</v>
      </c>
      <c r="O51" s="1">
        <v>20</v>
      </c>
      <c r="P51" s="31" t="str">
        <f t="shared" si="1"/>
        <v>Heavy</v>
      </c>
      <c r="Q51" s="1">
        <v>6482.11</v>
      </c>
      <c r="R51" s="27" t="str">
        <f t="shared" si="2"/>
        <v>Not</v>
      </c>
      <c r="S51" s="29" t="str">
        <f t="shared" si="3"/>
        <v>Good</v>
      </c>
      <c r="T51" s="33" t="str">
        <f t="shared" si="4"/>
        <v>Priority order</v>
      </c>
      <c r="V51" s="15"/>
    </row>
    <row r="52" spans="1:22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25" t="str">
        <f t="shared" si="0"/>
        <v>Online</v>
      </c>
      <c r="I52" s="1" t="s">
        <v>35</v>
      </c>
      <c r="J52" s="1" t="s">
        <v>19</v>
      </c>
      <c r="K52" s="1" t="s">
        <v>66</v>
      </c>
      <c r="L52" s="1" t="s">
        <v>47</v>
      </c>
      <c r="M52" s="1">
        <v>5</v>
      </c>
      <c r="N52" s="1">
        <v>1111.6199999999999</v>
      </c>
      <c r="O52" s="1">
        <v>15</v>
      </c>
      <c r="P52" s="31" t="str">
        <f t="shared" si="1"/>
        <v>Heavy</v>
      </c>
      <c r="Q52" s="1">
        <v>4724.3900000000003</v>
      </c>
      <c r="R52" s="27" t="str">
        <f t="shared" si="2"/>
        <v>Not</v>
      </c>
      <c r="S52" s="29" t="str">
        <f t="shared" si="3"/>
        <v>Good</v>
      </c>
      <c r="T52" s="33" t="str">
        <f t="shared" si="4"/>
        <v xml:space="preserve">Normal </v>
      </c>
      <c r="V52" s="15"/>
    </row>
    <row r="53" spans="1:22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25" t="str">
        <f t="shared" si="0"/>
        <v>Online</v>
      </c>
      <c r="I53" s="1" t="s">
        <v>35</v>
      </c>
      <c r="J53" s="1" t="s">
        <v>57</v>
      </c>
      <c r="K53" s="1" t="s">
        <v>62</v>
      </c>
      <c r="L53" s="1" t="s">
        <v>33</v>
      </c>
      <c r="M53" s="1">
        <v>3</v>
      </c>
      <c r="N53" s="1">
        <v>2668.52</v>
      </c>
      <c r="O53" s="1">
        <v>5</v>
      </c>
      <c r="P53" s="31" t="str">
        <f t="shared" si="1"/>
        <v>Heavy</v>
      </c>
      <c r="Q53" s="1">
        <v>7605.28</v>
      </c>
      <c r="R53" s="27" t="str">
        <f t="shared" si="2"/>
        <v>Eligible</v>
      </c>
      <c r="S53" s="29" t="str">
        <f t="shared" si="3"/>
        <v>Excellent</v>
      </c>
      <c r="T53" s="33" t="str">
        <f t="shared" si="4"/>
        <v>Priority order</v>
      </c>
      <c r="V53" s="15"/>
    </row>
    <row r="54" spans="1:22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25" t="str">
        <f t="shared" si="0"/>
        <v>Online</v>
      </c>
      <c r="I54" s="1" t="s">
        <v>35</v>
      </c>
      <c r="J54" s="1" t="s">
        <v>52</v>
      </c>
      <c r="K54" s="1" t="s">
        <v>64</v>
      </c>
      <c r="L54" s="1" t="s">
        <v>21</v>
      </c>
      <c r="M54" s="1">
        <v>5</v>
      </c>
      <c r="N54" s="1">
        <v>2534.0700000000002</v>
      </c>
      <c r="O54" s="1">
        <v>10</v>
      </c>
      <c r="P54" s="31" t="str">
        <f t="shared" si="1"/>
        <v>Heavy</v>
      </c>
      <c r="Q54" s="1">
        <v>11403.31</v>
      </c>
      <c r="R54" s="27" t="str">
        <f t="shared" si="2"/>
        <v>Not</v>
      </c>
      <c r="S54" s="29" t="str">
        <f t="shared" si="3"/>
        <v>Excellent</v>
      </c>
      <c r="T54" s="33" t="str">
        <f t="shared" si="4"/>
        <v>Priority order</v>
      </c>
      <c r="V54" s="15"/>
    </row>
    <row r="55" spans="1:22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25" t="str">
        <f t="shared" si="0"/>
        <v>Online</v>
      </c>
      <c r="I55" s="1" t="s">
        <v>25</v>
      </c>
      <c r="J55" s="1" t="s">
        <v>49</v>
      </c>
      <c r="K55" s="1" t="s">
        <v>50</v>
      </c>
      <c r="L55" s="1" t="s">
        <v>21</v>
      </c>
      <c r="M55" s="1">
        <v>8</v>
      </c>
      <c r="N55" s="1">
        <v>1428.62</v>
      </c>
      <c r="O55" s="1">
        <v>10</v>
      </c>
      <c r="P55" s="31" t="str">
        <f t="shared" si="1"/>
        <v>Heavy</v>
      </c>
      <c r="Q55" s="1">
        <v>10286.06</v>
      </c>
      <c r="R55" s="27" t="str">
        <f t="shared" si="2"/>
        <v>Not</v>
      </c>
      <c r="S55" s="29" t="str">
        <f t="shared" si="3"/>
        <v>Excellent</v>
      </c>
      <c r="T55" s="33" t="str">
        <f t="shared" si="4"/>
        <v>Priority order</v>
      </c>
      <c r="V55" s="15"/>
    </row>
    <row r="56" spans="1:22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25" t="str">
        <f t="shared" si="0"/>
        <v>Online</v>
      </c>
      <c r="I56" s="1" t="s">
        <v>18</v>
      </c>
      <c r="J56" s="1" t="s">
        <v>52</v>
      </c>
      <c r="K56" s="1" t="s">
        <v>64</v>
      </c>
      <c r="L56" s="1" t="s">
        <v>45</v>
      </c>
      <c r="M56" s="1">
        <v>2</v>
      </c>
      <c r="N56" s="1">
        <v>3723.19</v>
      </c>
      <c r="O56" s="1">
        <v>5</v>
      </c>
      <c r="P56" s="31" t="str">
        <f t="shared" si="1"/>
        <v>Heavy</v>
      </c>
      <c r="Q56" s="1">
        <v>7074.06</v>
      </c>
      <c r="R56" s="27" t="str">
        <f t="shared" si="2"/>
        <v>Eligible</v>
      </c>
      <c r="S56" s="29" t="str">
        <f t="shared" si="3"/>
        <v>Excellent</v>
      </c>
      <c r="T56" s="33" t="str">
        <f t="shared" si="4"/>
        <v>Priority order</v>
      </c>
      <c r="V56" s="15"/>
    </row>
    <row r="57" spans="1:22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25" t="str">
        <f t="shared" si="0"/>
        <v>Online</v>
      </c>
      <c r="I57" s="1" t="s">
        <v>42</v>
      </c>
      <c r="J57" s="1" t="s">
        <v>57</v>
      </c>
      <c r="K57" s="1" t="s">
        <v>62</v>
      </c>
      <c r="L57" s="1" t="s">
        <v>45</v>
      </c>
      <c r="M57" s="1">
        <v>6</v>
      </c>
      <c r="N57" s="1">
        <v>3402.72</v>
      </c>
      <c r="O57" s="1">
        <v>15</v>
      </c>
      <c r="P57" s="31" t="str">
        <f t="shared" si="1"/>
        <v>Heavy</v>
      </c>
      <c r="Q57" s="1">
        <v>17353.87</v>
      </c>
      <c r="R57" s="27" t="str">
        <f t="shared" si="2"/>
        <v>Not</v>
      </c>
      <c r="S57" s="29" t="str">
        <f t="shared" si="3"/>
        <v>Excellent</v>
      </c>
      <c r="T57" s="33" t="str">
        <f t="shared" si="4"/>
        <v>Priority order</v>
      </c>
      <c r="V57" s="15"/>
    </row>
    <row r="58" spans="1:22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25" t="str">
        <f t="shared" si="0"/>
        <v>Online</v>
      </c>
      <c r="I58" s="1" t="s">
        <v>25</v>
      </c>
      <c r="J58" s="1" t="s">
        <v>57</v>
      </c>
      <c r="K58" s="1" t="s">
        <v>58</v>
      </c>
      <c r="L58" s="1" t="s">
        <v>33</v>
      </c>
      <c r="M58" s="1">
        <v>9</v>
      </c>
      <c r="N58" s="1">
        <v>1012.33</v>
      </c>
      <c r="O58" s="1">
        <v>20</v>
      </c>
      <c r="P58" s="31" t="str">
        <f t="shared" si="1"/>
        <v>Heavy</v>
      </c>
      <c r="Q58" s="1">
        <v>7288.78</v>
      </c>
      <c r="R58" s="27" t="str">
        <f t="shared" si="2"/>
        <v>Not</v>
      </c>
      <c r="S58" s="29" t="str">
        <f t="shared" si="3"/>
        <v>Excellent</v>
      </c>
      <c r="T58" s="33" t="str">
        <f t="shared" si="4"/>
        <v>Priority order</v>
      </c>
      <c r="V58" s="15"/>
    </row>
    <row r="59" spans="1:22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25" t="str">
        <f t="shared" si="0"/>
        <v>Online</v>
      </c>
      <c r="I59" s="1" t="s">
        <v>44</v>
      </c>
      <c r="J59" s="1" t="s">
        <v>57</v>
      </c>
      <c r="K59" s="1" t="s">
        <v>59</v>
      </c>
      <c r="L59" s="1" t="s">
        <v>21</v>
      </c>
      <c r="M59" s="1">
        <v>8</v>
      </c>
      <c r="N59" s="1">
        <v>1070.7</v>
      </c>
      <c r="O59" s="1">
        <v>5</v>
      </c>
      <c r="P59" s="31" t="str">
        <f t="shared" si="1"/>
        <v>Heavy</v>
      </c>
      <c r="Q59" s="1">
        <v>8137.32</v>
      </c>
      <c r="R59" s="27" t="str">
        <f t="shared" si="2"/>
        <v>Eligible</v>
      </c>
      <c r="S59" s="29" t="str">
        <f t="shared" si="3"/>
        <v>Excellent</v>
      </c>
      <c r="T59" s="33" t="str">
        <f t="shared" si="4"/>
        <v>Priority order</v>
      </c>
      <c r="V59" s="15"/>
    </row>
    <row r="60" spans="1:22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25" t="str">
        <f t="shared" si="0"/>
        <v>Online</v>
      </c>
      <c r="I60" s="1" t="s">
        <v>42</v>
      </c>
      <c r="J60" s="1" t="s">
        <v>52</v>
      </c>
      <c r="K60" s="1" t="s">
        <v>64</v>
      </c>
      <c r="L60" s="1" t="s">
        <v>33</v>
      </c>
      <c r="M60" s="1">
        <v>8</v>
      </c>
      <c r="N60" s="1">
        <v>2122.36</v>
      </c>
      <c r="O60" s="1">
        <v>0</v>
      </c>
      <c r="P60" s="31" t="str">
        <f t="shared" si="1"/>
        <v>Normal</v>
      </c>
      <c r="Q60" s="1">
        <v>16978.88</v>
      </c>
      <c r="R60" s="27" t="str">
        <f t="shared" si="2"/>
        <v>Eligible</v>
      </c>
      <c r="S60" s="29" t="str">
        <f t="shared" si="3"/>
        <v>Excellent</v>
      </c>
      <c r="T60" s="33" t="str">
        <f t="shared" si="4"/>
        <v>Priority order</v>
      </c>
      <c r="V60" s="15"/>
    </row>
    <row r="61" spans="1:22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25" t="str">
        <f t="shared" si="0"/>
        <v>Marketplace</v>
      </c>
      <c r="I61" s="1" t="s">
        <v>42</v>
      </c>
      <c r="J61" s="1" t="s">
        <v>57</v>
      </c>
      <c r="K61" s="1" t="s">
        <v>62</v>
      </c>
      <c r="L61" s="1" t="s">
        <v>45</v>
      </c>
      <c r="M61" s="1">
        <v>8</v>
      </c>
      <c r="N61" s="1">
        <v>3128.25</v>
      </c>
      <c r="O61" s="1">
        <v>15</v>
      </c>
      <c r="P61" s="31" t="str">
        <f t="shared" si="1"/>
        <v>Heavy</v>
      </c>
      <c r="Q61" s="1">
        <v>21272.1</v>
      </c>
      <c r="R61" s="27" t="str">
        <f t="shared" si="2"/>
        <v>Not</v>
      </c>
      <c r="S61" s="29" t="str">
        <f t="shared" si="3"/>
        <v>Excellent</v>
      </c>
      <c r="T61" s="33" t="str">
        <f t="shared" si="4"/>
        <v>Priority order</v>
      </c>
      <c r="V61" s="15"/>
    </row>
    <row r="62" spans="1:22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25" t="str">
        <f t="shared" si="0"/>
        <v>Online</v>
      </c>
      <c r="I62" s="1" t="s">
        <v>42</v>
      </c>
      <c r="J62" s="1" t="s">
        <v>26</v>
      </c>
      <c r="K62" s="1" t="s">
        <v>36</v>
      </c>
      <c r="L62" s="1" t="s">
        <v>45</v>
      </c>
      <c r="M62" s="1">
        <v>7</v>
      </c>
      <c r="N62" s="1">
        <v>319.56</v>
      </c>
      <c r="O62" s="1">
        <v>10</v>
      </c>
      <c r="P62" s="31" t="str">
        <f t="shared" si="1"/>
        <v>Heavy</v>
      </c>
      <c r="Q62" s="1">
        <v>2013.23</v>
      </c>
      <c r="R62" s="27" t="str">
        <f t="shared" si="2"/>
        <v>Not</v>
      </c>
      <c r="S62" s="29" t="str">
        <f t="shared" si="3"/>
        <v>Average</v>
      </c>
      <c r="T62" s="33" t="str">
        <f t="shared" si="4"/>
        <v>Priority order</v>
      </c>
      <c r="V62" s="15"/>
    </row>
    <row r="63" spans="1:22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25" t="str">
        <f t="shared" si="0"/>
        <v>Marketplace</v>
      </c>
      <c r="I63" s="1" t="s">
        <v>35</v>
      </c>
      <c r="J63" s="1" t="s">
        <v>52</v>
      </c>
      <c r="K63" s="1" t="s">
        <v>56</v>
      </c>
      <c r="L63" s="1" t="s">
        <v>21</v>
      </c>
      <c r="M63" s="1">
        <v>8</v>
      </c>
      <c r="N63" s="1">
        <v>2819.34</v>
      </c>
      <c r="O63" s="1">
        <v>5</v>
      </c>
      <c r="P63" s="31" t="str">
        <f t="shared" si="1"/>
        <v>Heavy</v>
      </c>
      <c r="Q63" s="1">
        <v>21426.98</v>
      </c>
      <c r="R63" s="27" t="str">
        <f t="shared" si="2"/>
        <v>Eligible</v>
      </c>
      <c r="S63" s="29" t="str">
        <f t="shared" si="3"/>
        <v>Excellent</v>
      </c>
      <c r="T63" s="33" t="str">
        <f t="shared" si="4"/>
        <v>Priority order</v>
      </c>
      <c r="V63" s="15"/>
    </row>
    <row r="64" spans="1:22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25" t="str">
        <f t="shared" si="0"/>
        <v>Marketplace</v>
      </c>
      <c r="I64" s="1" t="s">
        <v>42</v>
      </c>
      <c r="J64" s="1" t="s">
        <v>57</v>
      </c>
      <c r="K64" s="1" t="s">
        <v>62</v>
      </c>
      <c r="L64" s="1" t="s">
        <v>28</v>
      </c>
      <c r="M64" s="1">
        <v>6</v>
      </c>
      <c r="N64" s="1">
        <v>2645.71</v>
      </c>
      <c r="O64" s="1">
        <v>10</v>
      </c>
      <c r="P64" s="31" t="str">
        <f t="shared" si="1"/>
        <v>Heavy</v>
      </c>
      <c r="Q64" s="1">
        <v>14286.83</v>
      </c>
      <c r="R64" s="27" t="str">
        <f t="shared" si="2"/>
        <v>Not</v>
      </c>
      <c r="S64" s="29" t="str">
        <f t="shared" si="3"/>
        <v>Excellent</v>
      </c>
      <c r="T64" s="33" t="str">
        <f t="shared" si="4"/>
        <v>Priority order</v>
      </c>
      <c r="V64" s="15"/>
    </row>
    <row r="65" spans="1:22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25" t="str">
        <f t="shared" si="0"/>
        <v>Marketplace</v>
      </c>
      <c r="I65" s="1" t="s">
        <v>18</v>
      </c>
      <c r="J65" s="1" t="s">
        <v>26</v>
      </c>
      <c r="K65" s="1" t="s">
        <v>36</v>
      </c>
      <c r="L65" s="1" t="s">
        <v>47</v>
      </c>
      <c r="M65" s="1">
        <v>2</v>
      </c>
      <c r="N65" s="1">
        <v>1041.2</v>
      </c>
      <c r="O65" s="1">
        <v>15</v>
      </c>
      <c r="P65" s="31" t="str">
        <f t="shared" si="1"/>
        <v>Heavy</v>
      </c>
      <c r="Q65" s="1">
        <v>1770.04</v>
      </c>
      <c r="R65" s="27" t="str">
        <f t="shared" si="2"/>
        <v>Not</v>
      </c>
      <c r="S65" s="29" t="str">
        <f t="shared" si="3"/>
        <v>Average</v>
      </c>
      <c r="T65" s="33" t="str">
        <f t="shared" si="4"/>
        <v xml:space="preserve">Normal </v>
      </c>
      <c r="V65" s="15"/>
    </row>
    <row r="66" spans="1:22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25" t="str">
        <f t="shared" si="0"/>
        <v>Online</v>
      </c>
      <c r="I66" s="1" t="s">
        <v>42</v>
      </c>
      <c r="J66" s="1" t="s">
        <v>19</v>
      </c>
      <c r="K66" s="1" t="s">
        <v>43</v>
      </c>
      <c r="L66" s="1" t="s">
        <v>45</v>
      </c>
      <c r="M66" s="1">
        <v>2</v>
      </c>
      <c r="N66" s="1">
        <v>2773.21</v>
      </c>
      <c r="O66" s="1">
        <v>10</v>
      </c>
      <c r="P66" s="31" t="str">
        <f t="shared" si="1"/>
        <v>Heavy</v>
      </c>
      <c r="Q66" s="1">
        <v>4991.78</v>
      </c>
      <c r="R66" s="27" t="str">
        <f t="shared" si="2"/>
        <v>Not</v>
      </c>
      <c r="S66" s="29" t="str">
        <f t="shared" si="3"/>
        <v>Good</v>
      </c>
      <c r="T66" s="33" t="str">
        <f t="shared" si="4"/>
        <v xml:space="preserve">Normal </v>
      </c>
      <c r="V66" s="15"/>
    </row>
    <row r="67" spans="1:22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25" t="str">
        <f t="shared" ref="H67:H130" si="5">IF(G67:G566&lt;&gt; "Marketplace","Online","Marketplace")</f>
        <v>Online</v>
      </c>
      <c r="I67" s="1" t="s">
        <v>35</v>
      </c>
      <c r="J67" s="1" t="s">
        <v>57</v>
      </c>
      <c r="K67" s="1" t="s">
        <v>67</v>
      </c>
      <c r="L67" s="1" t="s">
        <v>45</v>
      </c>
      <c r="M67" s="1">
        <v>8</v>
      </c>
      <c r="N67" s="1">
        <v>3769.71</v>
      </c>
      <c r="O67" s="1">
        <v>5</v>
      </c>
      <c r="P67" s="31" t="str">
        <f t="shared" ref="P67:P130" si="6">IF(O67&gt;10%,"Heavy","Normal")</f>
        <v>Heavy</v>
      </c>
      <c r="Q67" s="1">
        <v>28649.8</v>
      </c>
      <c r="R67" s="27" t="str">
        <f t="shared" ref="R67:R130" si="7">IF(AND($Q$2:$Q$501 &gt; 5000, $O$2:$O$501&lt;10),"Eligible","Not")</f>
        <v>Eligible</v>
      </c>
      <c r="S67" s="29" t="str">
        <f t="shared" ref="S67:S130" si="8">IF(Q67&gt;=7000,"Excellent",(IF(Q67&gt;=4000,"Good","Average")))</f>
        <v>Excellent</v>
      </c>
      <c r="T67" s="33" t="str">
        <f t="shared" ref="T67:T130" si="9">IF(OR(Q67&gt;7000,M67&gt;5),"Priority order","Normal ")</f>
        <v>Priority order</v>
      </c>
      <c r="V67" s="15"/>
    </row>
    <row r="68" spans="1:22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25" t="str">
        <f t="shared" si="5"/>
        <v>Online</v>
      </c>
      <c r="I68" s="1" t="s">
        <v>42</v>
      </c>
      <c r="J68" s="1" t="s">
        <v>52</v>
      </c>
      <c r="K68" s="1" t="s">
        <v>64</v>
      </c>
      <c r="L68" s="1" t="s">
        <v>28</v>
      </c>
      <c r="M68" s="1">
        <v>1</v>
      </c>
      <c r="N68" s="1">
        <v>330.13</v>
      </c>
      <c r="O68" s="1">
        <v>15</v>
      </c>
      <c r="P68" s="31" t="str">
        <f t="shared" si="6"/>
        <v>Heavy</v>
      </c>
      <c r="Q68" s="1">
        <v>280.61</v>
      </c>
      <c r="R68" s="27" t="str">
        <f t="shared" si="7"/>
        <v>Not</v>
      </c>
      <c r="S68" s="29" t="str">
        <f t="shared" si="8"/>
        <v>Average</v>
      </c>
      <c r="T68" s="33" t="str">
        <f t="shared" si="9"/>
        <v xml:space="preserve">Normal </v>
      </c>
      <c r="V68" s="15"/>
    </row>
    <row r="69" spans="1:22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25" t="str">
        <f t="shared" si="5"/>
        <v>Marketplace</v>
      </c>
      <c r="I69" s="1" t="s">
        <v>44</v>
      </c>
      <c r="J69" s="1" t="s">
        <v>31</v>
      </c>
      <c r="K69" s="1" t="s">
        <v>48</v>
      </c>
      <c r="L69" s="1" t="s">
        <v>28</v>
      </c>
      <c r="M69" s="1">
        <v>6</v>
      </c>
      <c r="N69" s="1">
        <v>1380.66</v>
      </c>
      <c r="O69" s="1">
        <v>0</v>
      </c>
      <c r="P69" s="31" t="str">
        <f t="shared" si="6"/>
        <v>Normal</v>
      </c>
      <c r="Q69" s="1">
        <v>8283.9599999999991</v>
      </c>
      <c r="R69" s="27" t="str">
        <f t="shared" si="7"/>
        <v>Eligible</v>
      </c>
      <c r="S69" s="29" t="str">
        <f t="shared" si="8"/>
        <v>Excellent</v>
      </c>
      <c r="T69" s="33" t="str">
        <f t="shared" si="9"/>
        <v>Priority order</v>
      </c>
      <c r="V69" s="15"/>
    </row>
    <row r="70" spans="1:22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25" t="str">
        <f t="shared" si="5"/>
        <v>Online</v>
      </c>
      <c r="I70" s="1" t="s">
        <v>44</v>
      </c>
      <c r="J70" s="1" t="s">
        <v>57</v>
      </c>
      <c r="K70" s="1" t="s">
        <v>62</v>
      </c>
      <c r="L70" s="1" t="s">
        <v>33</v>
      </c>
      <c r="M70" s="1">
        <v>6</v>
      </c>
      <c r="N70" s="1">
        <v>1836.98</v>
      </c>
      <c r="O70" s="1">
        <v>5</v>
      </c>
      <c r="P70" s="31" t="str">
        <f t="shared" si="6"/>
        <v>Heavy</v>
      </c>
      <c r="Q70" s="1">
        <v>10470.790000000001</v>
      </c>
      <c r="R70" s="27" t="str">
        <f t="shared" si="7"/>
        <v>Eligible</v>
      </c>
      <c r="S70" s="29" t="str">
        <f t="shared" si="8"/>
        <v>Excellent</v>
      </c>
      <c r="T70" s="33" t="str">
        <f t="shared" si="9"/>
        <v>Priority order</v>
      </c>
      <c r="V70" s="15"/>
    </row>
    <row r="71" spans="1:22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25" t="str">
        <f t="shared" si="5"/>
        <v>Online</v>
      </c>
      <c r="I71" s="1" t="s">
        <v>35</v>
      </c>
      <c r="J71" s="1" t="s">
        <v>31</v>
      </c>
      <c r="K71" s="1" t="s">
        <v>39</v>
      </c>
      <c r="L71" s="1" t="s">
        <v>33</v>
      </c>
      <c r="M71" s="1">
        <v>4</v>
      </c>
      <c r="N71" s="1">
        <v>3612.15</v>
      </c>
      <c r="O71" s="1">
        <v>20</v>
      </c>
      <c r="P71" s="31" t="str">
        <f t="shared" si="6"/>
        <v>Heavy</v>
      </c>
      <c r="Q71" s="1">
        <v>11558.88</v>
      </c>
      <c r="R71" s="27" t="str">
        <f t="shared" si="7"/>
        <v>Not</v>
      </c>
      <c r="S71" s="29" t="str">
        <f t="shared" si="8"/>
        <v>Excellent</v>
      </c>
      <c r="T71" s="33" t="str">
        <f t="shared" si="9"/>
        <v>Priority order</v>
      </c>
      <c r="V71" s="15"/>
    </row>
    <row r="72" spans="1:22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25" t="str">
        <f t="shared" si="5"/>
        <v>Online</v>
      </c>
      <c r="I72" s="1" t="s">
        <v>18</v>
      </c>
      <c r="J72" s="1" t="s">
        <v>26</v>
      </c>
      <c r="K72" s="1" t="s">
        <v>61</v>
      </c>
      <c r="L72" s="1" t="s">
        <v>47</v>
      </c>
      <c r="M72" s="1">
        <v>3</v>
      </c>
      <c r="N72" s="1">
        <v>3854.71</v>
      </c>
      <c r="O72" s="1">
        <v>5</v>
      </c>
      <c r="P72" s="31" t="str">
        <f t="shared" si="6"/>
        <v>Heavy</v>
      </c>
      <c r="Q72" s="1">
        <v>10985.92</v>
      </c>
      <c r="R72" s="27" t="str">
        <f t="shared" si="7"/>
        <v>Eligible</v>
      </c>
      <c r="S72" s="29" t="str">
        <f t="shared" si="8"/>
        <v>Excellent</v>
      </c>
      <c r="T72" s="33" t="str">
        <f t="shared" si="9"/>
        <v>Priority order</v>
      </c>
      <c r="V72" s="15"/>
    </row>
    <row r="73" spans="1:22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25" t="str">
        <f t="shared" si="5"/>
        <v>Online</v>
      </c>
      <c r="I73" s="1" t="s">
        <v>18</v>
      </c>
      <c r="J73" s="1" t="s">
        <v>19</v>
      </c>
      <c r="K73" s="1" t="s">
        <v>55</v>
      </c>
      <c r="L73" s="1" t="s">
        <v>47</v>
      </c>
      <c r="M73" s="1">
        <v>3</v>
      </c>
      <c r="N73" s="1">
        <v>1859.84</v>
      </c>
      <c r="O73" s="1">
        <v>15</v>
      </c>
      <c r="P73" s="31" t="str">
        <f t="shared" si="6"/>
        <v>Heavy</v>
      </c>
      <c r="Q73" s="1">
        <v>4742.59</v>
      </c>
      <c r="R73" s="27" t="str">
        <f t="shared" si="7"/>
        <v>Not</v>
      </c>
      <c r="S73" s="29" t="str">
        <f t="shared" si="8"/>
        <v>Good</v>
      </c>
      <c r="T73" s="33" t="str">
        <f t="shared" si="9"/>
        <v xml:space="preserve">Normal </v>
      </c>
      <c r="V73" s="15"/>
    </row>
    <row r="74" spans="1:22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25" t="str">
        <f t="shared" si="5"/>
        <v>Online</v>
      </c>
      <c r="I74" s="1" t="s">
        <v>25</v>
      </c>
      <c r="J74" s="1" t="s">
        <v>49</v>
      </c>
      <c r="K74" s="1" t="s">
        <v>68</v>
      </c>
      <c r="L74" s="1" t="s">
        <v>21</v>
      </c>
      <c r="M74" s="1">
        <v>1</v>
      </c>
      <c r="N74" s="1">
        <v>3037.61</v>
      </c>
      <c r="O74" s="1">
        <v>5</v>
      </c>
      <c r="P74" s="31" t="str">
        <f t="shared" si="6"/>
        <v>Heavy</v>
      </c>
      <c r="Q74" s="1">
        <v>2885.73</v>
      </c>
      <c r="R74" s="27" t="str">
        <f t="shared" si="7"/>
        <v>Not</v>
      </c>
      <c r="S74" s="29" t="str">
        <f t="shared" si="8"/>
        <v>Average</v>
      </c>
      <c r="T74" s="33" t="str">
        <f t="shared" si="9"/>
        <v xml:space="preserve">Normal </v>
      </c>
      <c r="V74" s="15"/>
    </row>
    <row r="75" spans="1:22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25" t="str">
        <f t="shared" si="5"/>
        <v>Marketplace</v>
      </c>
      <c r="I75" s="1" t="s">
        <v>35</v>
      </c>
      <c r="J75" s="1" t="s">
        <v>19</v>
      </c>
      <c r="K75" s="1" t="s">
        <v>43</v>
      </c>
      <c r="L75" s="1" t="s">
        <v>33</v>
      </c>
      <c r="M75" s="1">
        <v>3</v>
      </c>
      <c r="N75" s="1">
        <v>2196.89</v>
      </c>
      <c r="O75" s="1">
        <v>0</v>
      </c>
      <c r="P75" s="31" t="str">
        <f t="shared" si="6"/>
        <v>Normal</v>
      </c>
      <c r="Q75" s="1">
        <v>6590.67</v>
      </c>
      <c r="R75" s="27" t="str">
        <f t="shared" si="7"/>
        <v>Eligible</v>
      </c>
      <c r="S75" s="29" t="str">
        <f t="shared" si="8"/>
        <v>Good</v>
      </c>
      <c r="T75" s="33" t="str">
        <f t="shared" si="9"/>
        <v xml:space="preserve">Normal </v>
      </c>
      <c r="V75" s="15"/>
    </row>
    <row r="76" spans="1:22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25" t="str">
        <f t="shared" si="5"/>
        <v>Marketplace</v>
      </c>
      <c r="I76" s="1" t="s">
        <v>42</v>
      </c>
      <c r="J76" s="1" t="s">
        <v>57</v>
      </c>
      <c r="K76" s="1" t="s">
        <v>58</v>
      </c>
      <c r="L76" s="1" t="s">
        <v>45</v>
      </c>
      <c r="M76" s="1">
        <v>4</v>
      </c>
      <c r="N76" s="1">
        <v>2220.46</v>
      </c>
      <c r="O76" s="1">
        <v>0</v>
      </c>
      <c r="P76" s="31" t="str">
        <f t="shared" si="6"/>
        <v>Normal</v>
      </c>
      <c r="Q76" s="1">
        <v>8881.84</v>
      </c>
      <c r="R76" s="27" t="str">
        <f t="shared" si="7"/>
        <v>Eligible</v>
      </c>
      <c r="S76" s="29" t="str">
        <f t="shared" si="8"/>
        <v>Excellent</v>
      </c>
      <c r="T76" s="33" t="str">
        <f t="shared" si="9"/>
        <v>Priority order</v>
      </c>
      <c r="V76" s="15"/>
    </row>
    <row r="77" spans="1:22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25" t="str">
        <f t="shared" si="5"/>
        <v>Marketplace</v>
      </c>
      <c r="I77" s="1" t="s">
        <v>35</v>
      </c>
      <c r="J77" s="1" t="s">
        <v>31</v>
      </c>
      <c r="K77" s="1" t="s">
        <v>39</v>
      </c>
      <c r="L77" s="1" t="s">
        <v>33</v>
      </c>
      <c r="M77" s="1">
        <v>5</v>
      </c>
      <c r="N77" s="1">
        <v>1220.68</v>
      </c>
      <c r="O77" s="1">
        <v>20</v>
      </c>
      <c r="P77" s="31" t="str">
        <f t="shared" si="6"/>
        <v>Heavy</v>
      </c>
      <c r="Q77" s="1">
        <v>4882.72</v>
      </c>
      <c r="R77" s="27" t="str">
        <f t="shared" si="7"/>
        <v>Not</v>
      </c>
      <c r="S77" s="29" t="str">
        <f t="shared" si="8"/>
        <v>Good</v>
      </c>
      <c r="T77" s="33" t="str">
        <f t="shared" si="9"/>
        <v xml:space="preserve">Normal </v>
      </c>
      <c r="V77" s="15"/>
    </row>
    <row r="78" spans="1:22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25" t="str">
        <f t="shared" si="5"/>
        <v>Marketplace</v>
      </c>
      <c r="I78" s="1" t="s">
        <v>25</v>
      </c>
      <c r="J78" s="1" t="s">
        <v>31</v>
      </c>
      <c r="K78" s="1" t="s">
        <v>32</v>
      </c>
      <c r="L78" s="1" t="s">
        <v>45</v>
      </c>
      <c r="M78" s="1">
        <v>3</v>
      </c>
      <c r="N78" s="1">
        <v>985.28</v>
      </c>
      <c r="O78" s="1">
        <v>10</v>
      </c>
      <c r="P78" s="31" t="str">
        <f t="shared" si="6"/>
        <v>Heavy</v>
      </c>
      <c r="Q78" s="1">
        <v>2660.26</v>
      </c>
      <c r="R78" s="27" t="str">
        <f t="shared" si="7"/>
        <v>Not</v>
      </c>
      <c r="S78" s="29" t="str">
        <f t="shared" si="8"/>
        <v>Average</v>
      </c>
      <c r="T78" s="33" t="str">
        <f t="shared" si="9"/>
        <v xml:space="preserve">Normal </v>
      </c>
      <c r="V78" s="15"/>
    </row>
    <row r="79" spans="1:22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25" t="str">
        <f t="shared" si="5"/>
        <v>Online</v>
      </c>
      <c r="I79" s="1" t="s">
        <v>35</v>
      </c>
      <c r="J79" s="1" t="s">
        <v>52</v>
      </c>
      <c r="K79" s="1" t="s">
        <v>60</v>
      </c>
      <c r="L79" s="1" t="s">
        <v>28</v>
      </c>
      <c r="M79" s="1">
        <v>6</v>
      </c>
      <c r="N79" s="1">
        <v>1258.82</v>
      </c>
      <c r="O79" s="1">
        <v>15</v>
      </c>
      <c r="P79" s="31" t="str">
        <f t="shared" si="6"/>
        <v>Heavy</v>
      </c>
      <c r="Q79" s="1">
        <v>6419.98</v>
      </c>
      <c r="R79" s="27" t="str">
        <f t="shared" si="7"/>
        <v>Not</v>
      </c>
      <c r="S79" s="29" t="str">
        <f t="shared" si="8"/>
        <v>Good</v>
      </c>
      <c r="T79" s="33" t="str">
        <f t="shared" si="9"/>
        <v>Priority order</v>
      </c>
      <c r="V79" s="15"/>
    </row>
    <row r="80" spans="1:22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25" t="str">
        <f t="shared" si="5"/>
        <v>Marketplace</v>
      </c>
      <c r="I80" s="1" t="s">
        <v>35</v>
      </c>
      <c r="J80" s="1" t="s">
        <v>31</v>
      </c>
      <c r="K80" s="1" t="s">
        <v>32</v>
      </c>
      <c r="L80" s="1" t="s">
        <v>33</v>
      </c>
      <c r="M80" s="1">
        <v>5</v>
      </c>
      <c r="N80" s="1">
        <v>2291.86</v>
      </c>
      <c r="O80" s="1">
        <v>15</v>
      </c>
      <c r="P80" s="31" t="str">
        <f t="shared" si="6"/>
        <v>Heavy</v>
      </c>
      <c r="Q80" s="1">
        <v>9740.4</v>
      </c>
      <c r="R80" s="27" t="str">
        <f t="shared" si="7"/>
        <v>Not</v>
      </c>
      <c r="S80" s="29" t="str">
        <f t="shared" si="8"/>
        <v>Excellent</v>
      </c>
      <c r="T80" s="33" t="str">
        <f t="shared" si="9"/>
        <v>Priority order</v>
      </c>
      <c r="V80" s="15"/>
    </row>
    <row r="81" spans="1:22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25" t="str">
        <f t="shared" si="5"/>
        <v>Online</v>
      </c>
      <c r="I81" s="1" t="s">
        <v>25</v>
      </c>
      <c r="J81" s="1" t="s">
        <v>52</v>
      </c>
      <c r="K81" s="1" t="s">
        <v>56</v>
      </c>
      <c r="L81" s="1" t="s">
        <v>28</v>
      </c>
      <c r="M81" s="1">
        <v>3</v>
      </c>
      <c r="N81" s="1">
        <v>262.25</v>
      </c>
      <c r="O81" s="1">
        <v>10</v>
      </c>
      <c r="P81" s="31" t="str">
        <f t="shared" si="6"/>
        <v>Heavy</v>
      </c>
      <c r="Q81" s="1">
        <v>708.07</v>
      </c>
      <c r="R81" s="27" t="str">
        <f t="shared" si="7"/>
        <v>Not</v>
      </c>
      <c r="S81" s="29" t="str">
        <f t="shared" si="8"/>
        <v>Average</v>
      </c>
      <c r="T81" s="33" t="str">
        <f t="shared" si="9"/>
        <v xml:space="preserve">Normal </v>
      </c>
      <c r="V81" s="15"/>
    </row>
    <row r="82" spans="1:22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25" t="str">
        <f t="shared" si="5"/>
        <v>Marketplace</v>
      </c>
      <c r="I82" s="1" t="s">
        <v>18</v>
      </c>
      <c r="J82" s="1" t="s">
        <v>26</v>
      </c>
      <c r="K82" s="1" t="s">
        <v>27</v>
      </c>
      <c r="L82" s="1" t="s">
        <v>47</v>
      </c>
      <c r="M82" s="1">
        <v>6</v>
      </c>
      <c r="N82" s="1">
        <v>3642.91</v>
      </c>
      <c r="O82" s="1">
        <v>0</v>
      </c>
      <c r="P82" s="31" t="str">
        <f t="shared" si="6"/>
        <v>Normal</v>
      </c>
      <c r="Q82" s="1">
        <v>21857.46</v>
      </c>
      <c r="R82" s="27" t="str">
        <f t="shared" si="7"/>
        <v>Eligible</v>
      </c>
      <c r="S82" s="29" t="str">
        <f t="shared" si="8"/>
        <v>Excellent</v>
      </c>
      <c r="T82" s="33" t="str">
        <f t="shared" si="9"/>
        <v>Priority order</v>
      </c>
      <c r="V82" s="15"/>
    </row>
    <row r="83" spans="1:22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25" t="str">
        <f t="shared" si="5"/>
        <v>Online</v>
      </c>
      <c r="I83" s="1" t="s">
        <v>42</v>
      </c>
      <c r="J83" s="1" t="s">
        <v>49</v>
      </c>
      <c r="K83" s="1" t="s">
        <v>63</v>
      </c>
      <c r="L83" s="1" t="s">
        <v>47</v>
      </c>
      <c r="M83" s="1">
        <v>6</v>
      </c>
      <c r="N83" s="1">
        <v>751.69</v>
      </c>
      <c r="O83" s="1">
        <v>0</v>
      </c>
      <c r="P83" s="31" t="str">
        <f t="shared" si="6"/>
        <v>Normal</v>
      </c>
      <c r="Q83" s="1">
        <v>4510.1400000000003</v>
      </c>
      <c r="R83" s="27" t="str">
        <f t="shared" si="7"/>
        <v>Not</v>
      </c>
      <c r="S83" s="29" t="str">
        <f t="shared" si="8"/>
        <v>Good</v>
      </c>
      <c r="T83" s="33" t="str">
        <f t="shared" si="9"/>
        <v>Priority order</v>
      </c>
      <c r="V83" s="15"/>
    </row>
    <row r="84" spans="1:22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25" t="str">
        <f t="shared" si="5"/>
        <v>Online</v>
      </c>
      <c r="I84" s="1" t="s">
        <v>25</v>
      </c>
      <c r="J84" s="1" t="s">
        <v>57</v>
      </c>
      <c r="K84" s="1" t="s">
        <v>62</v>
      </c>
      <c r="L84" s="1" t="s">
        <v>21</v>
      </c>
      <c r="M84" s="1">
        <v>8</v>
      </c>
      <c r="N84" s="1">
        <v>997.34</v>
      </c>
      <c r="O84" s="1">
        <v>5</v>
      </c>
      <c r="P84" s="31" t="str">
        <f t="shared" si="6"/>
        <v>Heavy</v>
      </c>
      <c r="Q84" s="1">
        <v>7579.78</v>
      </c>
      <c r="R84" s="27" t="str">
        <f t="shared" si="7"/>
        <v>Eligible</v>
      </c>
      <c r="S84" s="29" t="str">
        <f t="shared" si="8"/>
        <v>Excellent</v>
      </c>
      <c r="T84" s="33" t="str">
        <f t="shared" si="9"/>
        <v>Priority order</v>
      </c>
      <c r="V84" s="15"/>
    </row>
    <row r="85" spans="1:22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25" t="str">
        <f t="shared" si="5"/>
        <v>Marketplace</v>
      </c>
      <c r="I85" s="1" t="s">
        <v>44</v>
      </c>
      <c r="J85" s="1" t="s">
        <v>52</v>
      </c>
      <c r="K85" s="1" t="s">
        <v>56</v>
      </c>
      <c r="L85" s="1" t="s">
        <v>33</v>
      </c>
      <c r="M85" s="1">
        <v>2</v>
      </c>
      <c r="N85" s="1">
        <v>2145.36</v>
      </c>
      <c r="O85" s="1">
        <v>20</v>
      </c>
      <c r="P85" s="31" t="str">
        <f t="shared" si="6"/>
        <v>Heavy</v>
      </c>
      <c r="Q85" s="1">
        <v>3432.58</v>
      </c>
      <c r="R85" s="27" t="str">
        <f t="shared" si="7"/>
        <v>Not</v>
      </c>
      <c r="S85" s="29" t="str">
        <f t="shared" si="8"/>
        <v>Average</v>
      </c>
      <c r="T85" s="33" t="str">
        <f t="shared" si="9"/>
        <v xml:space="preserve">Normal </v>
      </c>
      <c r="V85" s="15"/>
    </row>
    <row r="86" spans="1:22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25" t="str">
        <f t="shared" si="5"/>
        <v>Marketplace</v>
      </c>
      <c r="I86" s="1" t="s">
        <v>18</v>
      </c>
      <c r="J86" s="1" t="s">
        <v>49</v>
      </c>
      <c r="K86" s="1" t="s">
        <v>50</v>
      </c>
      <c r="L86" s="1" t="s">
        <v>28</v>
      </c>
      <c r="M86" s="1">
        <v>1</v>
      </c>
      <c r="N86" s="1">
        <v>2883.94</v>
      </c>
      <c r="O86" s="1">
        <v>20</v>
      </c>
      <c r="P86" s="31" t="str">
        <f t="shared" si="6"/>
        <v>Heavy</v>
      </c>
      <c r="Q86" s="1">
        <v>2307.15</v>
      </c>
      <c r="R86" s="27" t="str">
        <f t="shared" si="7"/>
        <v>Not</v>
      </c>
      <c r="S86" s="29" t="str">
        <f t="shared" si="8"/>
        <v>Average</v>
      </c>
      <c r="T86" s="33" t="str">
        <f t="shared" si="9"/>
        <v xml:space="preserve">Normal </v>
      </c>
      <c r="V86" s="15"/>
    </row>
    <row r="87" spans="1:22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25" t="str">
        <f t="shared" si="5"/>
        <v>Marketplace</v>
      </c>
      <c r="I87" s="1" t="s">
        <v>44</v>
      </c>
      <c r="J87" s="1" t="s">
        <v>31</v>
      </c>
      <c r="K87" s="1" t="s">
        <v>65</v>
      </c>
      <c r="L87" s="1" t="s">
        <v>45</v>
      </c>
      <c r="M87" s="1">
        <v>4</v>
      </c>
      <c r="N87" s="1">
        <v>518.55999999999995</v>
      </c>
      <c r="O87" s="1">
        <v>20</v>
      </c>
      <c r="P87" s="31" t="str">
        <f t="shared" si="6"/>
        <v>Heavy</v>
      </c>
      <c r="Q87" s="1">
        <v>1659.39</v>
      </c>
      <c r="R87" s="27" t="str">
        <f t="shared" si="7"/>
        <v>Not</v>
      </c>
      <c r="S87" s="29" t="str">
        <f t="shared" si="8"/>
        <v>Average</v>
      </c>
      <c r="T87" s="33" t="str">
        <f t="shared" si="9"/>
        <v xml:space="preserve">Normal </v>
      </c>
      <c r="V87" s="15"/>
    </row>
    <row r="88" spans="1:22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25" t="str">
        <f t="shared" si="5"/>
        <v>Online</v>
      </c>
      <c r="I88" s="1" t="s">
        <v>18</v>
      </c>
      <c r="J88" s="1" t="s">
        <v>31</v>
      </c>
      <c r="K88" s="1" t="s">
        <v>39</v>
      </c>
      <c r="L88" s="1" t="s">
        <v>47</v>
      </c>
      <c r="M88" s="1">
        <v>7</v>
      </c>
      <c r="N88" s="1">
        <v>1373.12</v>
      </c>
      <c r="O88" s="1">
        <v>5</v>
      </c>
      <c r="P88" s="31" t="str">
        <f t="shared" si="6"/>
        <v>Heavy</v>
      </c>
      <c r="Q88" s="1">
        <v>9131.25</v>
      </c>
      <c r="R88" s="27" t="str">
        <f t="shared" si="7"/>
        <v>Eligible</v>
      </c>
      <c r="S88" s="29" t="str">
        <f t="shared" si="8"/>
        <v>Excellent</v>
      </c>
      <c r="T88" s="33" t="str">
        <f t="shared" si="9"/>
        <v>Priority order</v>
      </c>
      <c r="V88" s="15"/>
    </row>
    <row r="89" spans="1:22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25" t="str">
        <f t="shared" si="5"/>
        <v>Online</v>
      </c>
      <c r="I89" s="1" t="s">
        <v>42</v>
      </c>
      <c r="J89" s="1" t="s">
        <v>49</v>
      </c>
      <c r="K89" s="1" t="s">
        <v>63</v>
      </c>
      <c r="L89" s="1" t="s">
        <v>47</v>
      </c>
      <c r="M89" s="1">
        <v>3</v>
      </c>
      <c r="N89" s="1">
        <v>3879.4</v>
      </c>
      <c r="O89" s="1">
        <v>20</v>
      </c>
      <c r="P89" s="31" t="str">
        <f t="shared" si="6"/>
        <v>Heavy</v>
      </c>
      <c r="Q89" s="1">
        <v>9310.56</v>
      </c>
      <c r="R89" s="27" t="str">
        <f t="shared" si="7"/>
        <v>Not</v>
      </c>
      <c r="S89" s="29" t="str">
        <f t="shared" si="8"/>
        <v>Excellent</v>
      </c>
      <c r="T89" s="33" t="str">
        <f t="shared" si="9"/>
        <v>Priority order</v>
      </c>
      <c r="V89" s="15"/>
    </row>
    <row r="90" spans="1:22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25" t="str">
        <f t="shared" si="5"/>
        <v>Online</v>
      </c>
      <c r="I90" s="1" t="s">
        <v>42</v>
      </c>
      <c r="J90" s="1" t="s">
        <v>31</v>
      </c>
      <c r="K90" s="1" t="s">
        <v>48</v>
      </c>
      <c r="L90" s="1" t="s">
        <v>45</v>
      </c>
      <c r="M90" s="1">
        <v>3</v>
      </c>
      <c r="N90" s="1">
        <v>1160.02</v>
      </c>
      <c r="O90" s="1">
        <v>10</v>
      </c>
      <c r="P90" s="31" t="str">
        <f t="shared" si="6"/>
        <v>Heavy</v>
      </c>
      <c r="Q90" s="1">
        <v>3132.05</v>
      </c>
      <c r="R90" s="27" t="str">
        <f t="shared" si="7"/>
        <v>Not</v>
      </c>
      <c r="S90" s="29" t="str">
        <f t="shared" si="8"/>
        <v>Average</v>
      </c>
      <c r="T90" s="33" t="str">
        <f t="shared" si="9"/>
        <v xml:space="preserve">Normal </v>
      </c>
      <c r="V90" s="15"/>
    </row>
    <row r="91" spans="1:22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25" t="str">
        <f t="shared" si="5"/>
        <v>Online</v>
      </c>
      <c r="I91" s="1" t="s">
        <v>35</v>
      </c>
      <c r="J91" s="1" t="s">
        <v>26</v>
      </c>
      <c r="K91" s="1" t="s">
        <v>27</v>
      </c>
      <c r="L91" s="1" t="s">
        <v>28</v>
      </c>
      <c r="M91" s="1">
        <v>5</v>
      </c>
      <c r="N91" s="1">
        <v>1355.24</v>
      </c>
      <c r="O91" s="1">
        <v>5</v>
      </c>
      <c r="P91" s="31" t="str">
        <f t="shared" si="6"/>
        <v>Heavy</v>
      </c>
      <c r="Q91" s="1">
        <v>6437.39</v>
      </c>
      <c r="R91" s="27" t="str">
        <f t="shared" si="7"/>
        <v>Eligible</v>
      </c>
      <c r="S91" s="29" t="str">
        <f t="shared" si="8"/>
        <v>Good</v>
      </c>
      <c r="T91" s="33" t="str">
        <f t="shared" si="9"/>
        <v xml:space="preserve">Normal </v>
      </c>
      <c r="V91" s="15"/>
    </row>
    <row r="92" spans="1:22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25" t="str">
        <f t="shared" si="5"/>
        <v>Online</v>
      </c>
      <c r="I92" s="1" t="s">
        <v>44</v>
      </c>
      <c r="J92" s="1" t="s">
        <v>26</v>
      </c>
      <c r="K92" s="1" t="s">
        <v>27</v>
      </c>
      <c r="L92" s="1" t="s">
        <v>28</v>
      </c>
      <c r="M92" s="1">
        <v>5</v>
      </c>
      <c r="N92" s="1">
        <v>3370.52</v>
      </c>
      <c r="O92" s="1">
        <v>10</v>
      </c>
      <c r="P92" s="31" t="str">
        <f t="shared" si="6"/>
        <v>Heavy</v>
      </c>
      <c r="Q92" s="1">
        <v>15167.34</v>
      </c>
      <c r="R92" s="27" t="str">
        <f t="shared" si="7"/>
        <v>Not</v>
      </c>
      <c r="S92" s="29" t="str">
        <f t="shared" si="8"/>
        <v>Excellent</v>
      </c>
      <c r="T92" s="33" t="str">
        <f t="shared" si="9"/>
        <v>Priority order</v>
      </c>
      <c r="V92" s="15"/>
    </row>
    <row r="93" spans="1:22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25" t="str">
        <f t="shared" si="5"/>
        <v>Marketplace</v>
      </c>
      <c r="I93" s="1" t="s">
        <v>18</v>
      </c>
      <c r="J93" s="1" t="s">
        <v>49</v>
      </c>
      <c r="K93" s="1" t="s">
        <v>50</v>
      </c>
      <c r="L93" s="1" t="s">
        <v>33</v>
      </c>
      <c r="M93" s="1">
        <v>3</v>
      </c>
      <c r="N93" s="1">
        <v>343.33</v>
      </c>
      <c r="O93" s="1">
        <v>5</v>
      </c>
      <c r="P93" s="31" t="str">
        <f t="shared" si="6"/>
        <v>Heavy</v>
      </c>
      <c r="Q93" s="1">
        <v>978.49</v>
      </c>
      <c r="R93" s="27" t="str">
        <f t="shared" si="7"/>
        <v>Not</v>
      </c>
      <c r="S93" s="29" t="str">
        <f t="shared" si="8"/>
        <v>Average</v>
      </c>
      <c r="T93" s="33" t="str">
        <f t="shared" si="9"/>
        <v xml:space="preserve">Normal </v>
      </c>
      <c r="V93" s="15"/>
    </row>
    <row r="94" spans="1:22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25" t="str">
        <f t="shared" si="5"/>
        <v>Online</v>
      </c>
      <c r="I94" s="1" t="s">
        <v>42</v>
      </c>
      <c r="J94" s="1" t="s">
        <v>52</v>
      </c>
      <c r="K94" s="1" t="s">
        <v>56</v>
      </c>
      <c r="L94" s="1" t="s">
        <v>33</v>
      </c>
      <c r="M94" s="1">
        <v>9</v>
      </c>
      <c r="N94" s="1">
        <v>1938.76</v>
      </c>
      <c r="O94" s="1">
        <v>20</v>
      </c>
      <c r="P94" s="31" t="str">
        <f t="shared" si="6"/>
        <v>Heavy</v>
      </c>
      <c r="Q94" s="1">
        <v>13959.07</v>
      </c>
      <c r="R94" s="27" t="str">
        <f t="shared" si="7"/>
        <v>Not</v>
      </c>
      <c r="S94" s="29" t="str">
        <f t="shared" si="8"/>
        <v>Excellent</v>
      </c>
      <c r="T94" s="33" t="str">
        <f t="shared" si="9"/>
        <v>Priority order</v>
      </c>
      <c r="V94" s="15"/>
    </row>
    <row r="95" spans="1:22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25" t="str">
        <f t="shared" si="5"/>
        <v>Marketplace</v>
      </c>
      <c r="I95" s="1" t="s">
        <v>25</v>
      </c>
      <c r="J95" s="1" t="s">
        <v>52</v>
      </c>
      <c r="K95" s="1" t="s">
        <v>60</v>
      </c>
      <c r="L95" s="1" t="s">
        <v>21</v>
      </c>
      <c r="M95" s="1">
        <v>4</v>
      </c>
      <c r="N95" s="1">
        <v>1611.52</v>
      </c>
      <c r="O95" s="1">
        <v>10</v>
      </c>
      <c r="P95" s="31" t="str">
        <f t="shared" si="6"/>
        <v>Heavy</v>
      </c>
      <c r="Q95" s="1">
        <v>5801.47</v>
      </c>
      <c r="R95" s="27" t="str">
        <f t="shared" si="7"/>
        <v>Not</v>
      </c>
      <c r="S95" s="29" t="str">
        <f t="shared" si="8"/>
        <v>Good</v>
      </c>
      <c r="T95" s="33" t="str">
        <f t="shared" si="9"/>
        <v xml:space="preserve">Normal </v>
      </c>
      <c r="V95" s="15"/>
    </row>
    <row r="96" spans="1:22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25" t="str">
        <f t="shared" si="5"/>
        <v>Marketplace</v>
      </c>
      <c r="I96" s="1" t="s">
        <v>42</v>
      </c>
      <c r="J96" s="1" t="s">
        <v>49</v>
      </c>
      <c r="K96" s="1" t="s">
        <v>50</v>
      </c>
      <c r="L96" s="1" t="s">
        <v>47</v>
      </c>
      <c r="M96" s="1">
        <v>3</v>
      </c>
      <c r="N96" s="1">
        <v>1368.86</v>
      </c>
      <c r="O96" s="1">
        <v>10</v>
      </c>
      <c r="P96" s="31" t="str">
        <f t="shared" si="6"/>
        <v>Heavy</v>
      </c>
      <c r="Q96" s="1">
        <v>3695.92</v>
      </c>
      <c r="R96" s="27" t="str">
        <f t="shared" si="7"/>
        <v>Not</v>
      </c>
      <c r="S96" s="29" t="str">
        <f t="shared" si="8"/>
        <v>Average</v>
      </c>
      <c r="T96" s="33" t="str">
        <f t="shared" si="9"/>
        <v xml:space="preserve">Normal </v>
      </c>
      <c r="V96" s="15"/>
    </row>
    <row r="97" spans="1:22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25" t="str">
        <f t="shared" si="5"/>
        <v>Online</v>
      </c>
      <c r="I97" s="1" t="s">
        <v>25</v>
      </c>
      <c r="J97" s="1" t="s">
        <v>52</v>
      </c>
      <c r="K97" s="1" t="s">
        <v>60</v>
      </c>
      <c r="L97" s="1" t="s">
        <v>33</v>
      </c>
      <c r="M97" s="1">
        <v>2</v>
      </c>
      <c r="N97" s="1">
        <v>1249.94</v>
      </c>
      <c r="O97" s="1">
        <v>10</v>
      </c>
      <c r="P97" s="31" t="str">
        <f t="shared" si="6"/>
        <v>Heavy</v>
      </c>
      <c r="Q97" s="1">
        <v>2249.89</v>
      </c>
      <c r="R97" s="27" t="str">
        <f t="shared" si="7"/>
        <v>Not</v>
      </c>
      <c r="S97" s="29" t="str">
        <f t="shared" si="8"/>
        <v>Average</v>
      </c>
      <c r="T97" s="33" t="str">
        <f t="shared" si="9"/>
        <v xml:space="preserve">Normal </v>
      </c>
      <c r="V97" s="15"/>
    </row>
    <row r="98" spans="1:22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25" t="str">
        <f t="shared" si="5"/>
        <v>Online</v>
      </c>
      <c r="I98" s="1" t="s">
        <v>18</v>
      </c>
      <c r="J98" s="1" t="s">
        <v>52</v>
      </c>
      <c r="K98" s="1" t="s">
        <v>60</v>
      </c>
      <c r="L98" s="1" t="s">
        <v>28</v>
      </c>
      <c r="M98" s="1">
        <v>9</v>
      </c>
      <c r="N98" s="1">
        <v>501.79</v>
      </c>
      <c r="O98" s="1">
        <v>5</v>
      </c>
      <c r="P98" s="31" t="str">
        <f t="shared" si="6"/>
        <v>Heavy</v>
      </c>
      <c r="Q98" s="1">
        <v>4290.3</v>
      </c>
      <c r="R98" s="27" t="str">
        <f t="shared" si="7"/>
        <v>Not</v>
      </c>
      <c r="S98" s="29" t="str">
        <f t="shared" si="8"/>
        <v>Good</v>
      </c>
      <c r="T98" s="33" t="str">
        <f t="shared" si="9"/>
        <v>Priority order</v>
      </c>
      <c r="V98" s="15"/>
    </row>
    <row r="99" spans="1:22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25" t="str">
        <f t="shared" si="5"/>
        <v>Online</v>
      </c>
      <c r="I99" s="1" t="s">
        <v>42</v>
      </c>
      <c r="J99" s="1" t="s">
        <v>26</v>
      </c>
      <c r="K99" s="1" t="s">
        <v>36</v>
      </c>
      <c r="L99" s="1" t="s">
        <v>45</v>
      </c>
      <c r="M99" s="1">
        <v>4</v>
      </c>
      <c r="N99" s="1">
        <v>1362.08</v>
      </c>
      <c r="O99" s="1">
        <v>15</v>
      </c>
      <c r="P99" s="31" t="str">
        <f t="shared" si="6"/>
        <v>Heavy</v>
      </c>
      <c r="Q99" s="1">
        <v>4631.07</v>
      </c>
      <c r="R99" s="27" t="str">
        <f t="shared" si="7"/>
        <v>Not</v>
      </c>
      <c r="S99" s="29" t="str">
        <f t="shared" si="8"/>
        <v>Good</v>
      </c>
      <c r="T99" s="33" t="str">
        <f t="shared" si="9"/>
        <v xml:space="preserve">Normal </v>
      </c>
      <c r="V99" s="15"/>
    </row>
    <row r="100" spans="1:22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25" t="str">
        <f t="shared" si="5"/>
        <v>Online</v>
      </c>
      <c r="I100" s="1" t="s">
        <v>42</v>
      </c>
      <c r="J100" s="1" t="s">
        <v>52</v>
      </c>
      <c r="K100" s="1" t="s">
        <v>53</v>
      </c>
      <c r="L100" s="1" t="s">
        <v>28</v>
      </c>
      <c r="M100" s="1">
        <v>3</v>
      </c>
      <c r="N100" s="1">
        <v>315.75</v>
      </c>
      <c r="O100" s="1">
        <v>20</v>
      </c>
      <c r="P100" s="31" t="str">
        <f t="shared" si="6"/>
        <v>Heavy</v>
      </c>
      <c r="Q100" s="1">
        <v>757.8</v>
      </c>
      <c r="R100" s="27" t="str">
        <f t="shared" si="7"/>
        <v>Not</v>
      </c>
      <c r="S100" s="29" t="str">
        <f t="shared" si="8"/>
        <v>Average</v>
      </c>
      <c r="T100" s="33" t="str">
        <f t="shared" si="9"/>
        <v xml:space="preserve">Normal </v>
      </c>
      <c r="V100" s="15"/>
    </row>
    <row r="101" spans="1:22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25" t="str">
        <f t="shared" si="5"/>
        <v>Online</v>
      </c>
      <c r="I101" s="1" t="s">
        <v>18</v>
      </c>
      <c r="J101" s="1" t="s">
        <v>19</v>
      </c>
      <c r="K101" s="1" t="s">
        <v>43</v>
      </c>
      <c r="L101" s="1" t="s">
        <v>47</v>
      </c>
      <c r="M101" s="1">
        <v>7</v>
      </c>
      <c r="N101" s="1">
        <v>3156.71</v>
      </c>
      <c r="O101" s="1">
        <v>10</v>
      </c>
      <c r="P101" s="31" t="str">
        <f t="shared" si="6"/>
        <v>Heavy</v>
      </c>
      <c r="Q101" s="1">
        <v>19887.27</v>
      </c>
      <c r="R101" s="27" t="str">
        <f t="shared" si="7"/>
        <v>Not</v>
      </c>
      <c r="S101" s="29" t="str">
        <f t="shared" si="8"/>
        <v>Excellent</v>
      </c>
      <c r="T101" s="33" t="str">
        <f t="shared" si="9"/>
        <v>Priority order</v>
      </c>
      <c r="V101" s="15"/>
    </row>
    <row r="102" spans="1:22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25" t="str">
        <f t="shared" si="5"/>
        <v>Marketplace</v>
      </c>
      <c r="I102" s="1" t="s">
        <v>42</v>
      </c>
      <c r="J102" s="1" t="s">
        <v>57</v>
      </c>
      <c r="K102" s="1" t="s">
        <v>59</v>
      </c>
      <c r="L102" s="1" t="s">
        <v>28</v>
      </c>
      <c r="M102" s="1">
        <v>8</v>
      </c>
      <c r="N102" s="1">
        <v>1683.18</v>
      </c>
      <c r="O102" s="1">
        <v>15</v>
      </c>
      <c r="P102" s="31" t="str">
        <f t="shared" si="6"/>
        <v>Heavy</v>
      </c>
      <c r="Q102" s="1">
        <v>11445.62</v>
      </c>
      <c r="R102" s="27" t="str">
        <f t="shared" si="7"/>
        <v>Not</v>
      </c>
      <c r="S102" s="29" t="str">
        <f t="shared" si="8"/>
        <v>Excellent</v>
      </c>
      <c r="T102" s="33" t="str">
        <f t="shared" si="9"/>
        <v>Priority order</v>
      </c>
      <c r="V102" s="15"/>
    </row>
    <row r="103" spans="1:22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25" t="str">
        <f t="shared" si="5"/>
        <v>Marketplace</v>
      </c>
      <c r="I103" s="1" t="s">
        <v>25</v>
      </c>
      <c r="J103" s="1" t="s">
        <v>31</v>
      </c>
      <c r="K103" s="1" t="s">
        <v>39</v>
      </c>
      <c r="L103" s="1" t="s">
        <v>21</v>
      </c>
      <c r="M103" s="1">
        <v>2</v>
      </c>
      <c r="N103" s="1">
        <v>1859.03</v>
      </c>
      <c r="O103" s="1">
        <v>20</v>
      </c>
      <c r="P103" s="31" t="str">
        <f t="shared" si="6"/>
        <v>Heavy</v>
      </c>
      <c r="Q103" s="1">
        <v>2974.45</v>
      </c>
      <c r="R103" s="27" t="str">
        <f t="shared" si="7"/>
        <v>Not</v>
      </c>
      <c r="S103" s="29" t="str">
        <f t="shared" si="8"/>
        <v>Average</v>
      </c>
      <c r="T103" s="33" t="str">
        <f t="shared" si="9"/>
        <v xml:space="preserve">Normal </v>
      </c>
      <c r="V103" s="15"/>
    </row>
    <row r="104" spans="1:22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25" t="str">
        <f t="shared" si="5"/>
        <v>Online</v>
      </c>
      <c r="I104" s="1" t="s">
        <v>42</v>
      </c>
      <c r="J104" s="1" t="s">
        <v>19</v>
      </c>
      <c r="K104" s="1" t="s">
        <v>20</v>
      </c>
      <c r="L104" s="1" t="s">
        <v>47</v>
      </c>
      <c r="M104" s="1">
        <v>7</v>
      </c>
      <c r="N104" s="1">
        <v>3590.34</v>
      </c>
      <c r="O104" s="1">
        <v>20</v>
      </c>
      <c r="P104" s="31" t="str">
        <f t="shared" si="6"/>
        <v>Heavy</v>
      </c>
      <c r="Q104" s="1">
        <v>20105.900000000001</v>
      </c>
      <c r="R104" s="27" t="str">
        <f t="shared" si="7"/>
        <v>Not</v>
      </c>
      <c r="S104" s="29" t="str">
        <f t="shared" si="8"/>
        <v>Excellent</v>
      </c>
      <c r="T104" s="33" t="str">
        <f t="shared" si="9"/>
        <v>Priority order</v>
      </c>
      <c r="V104" s="15"/>
    </row>
    <row r="105" spans="1:22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25" t="str">
        <f t="shared" si="5"/>
        <v>Online</v>
      </c>
      <c r="I105" s="1" t="s">
        <v>44</v>
      </c>
      <c r="J105" s="1" t="s">
        <v>52</v>
      </c>
      <c r="K105" s="1" t="s">
        <v>53</v>
      </c>
      <c r="L105" s="1" t="s">
        <v>45</v>
      </c>
      <c r="M105" s="1">
        <v>5</v>
      </c>
      <c r="N105" s="1">
        <v>2683.51</v>
      </c>
      <c r="O105" s="1">
        <v>10</v>
      </c>
      <c r="P105" s="31" t="str">
        <f t="shared" si="6"/>
        <v>Heavy</v>
      </c>
      <c r="Q105" s="1">
        <v>12075.79</v>
      </c>
      <c r="R105" s="27" t="str">
        <f t="shared" si="7"/>
        <v>Not</v>
      </c>
      <c r="S105" s="29" t="str">
        <f t="shared" si="8"/>
        <v>Excellent</v>
      </c>
      <c r="T105" s="33" t="str">
        <f t="shared" si="9"/>
        <v>Priority order</v>
      </c>
      <c r="V105" s="15"/>
    </row>
    <row r="106" spans="1:22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25" t="str">
        <f t="shared" si="5"/>
        <v>Online</v>
      </c>
      <c r="I106" s="1" t="s">
        <v>35</v>
      </c>
      <c r="J106" s="1" t="s">
        <v>26</v>
      </c>
      <c r="K106" s="1" t="s">
        <v>27</v>
      </c>
      <c r="L106" s="1" t="s">
        <v>21</v>
      </c>
      <c r="M106" s="1">
        <v>5</v>
      </c>
      <c r="N106" s="1">
        <v>181.03</v>
      </c>
      <c r="O106" s="1">
        <v>10</v>
      </c>
      <c r="P106" s="31" t="str">
        <f t="shared" si="6"/>
        <v>Heavy</v>
      </c>
      <c r="Q106" s="1">
        <v>814.63</v>
      </c>
      <c r="R106" s="27" t="str">
        <f t="shared" si="7"/>
        <v>Not</v>
      </c>
      <c r="S106" s="29" t="str">
        <f t="shared" si="8"/>
        <v>Average</v>
      </c>
      <c r="T106" s="33" t="str">
        <f t="shared" si="9"/>
        <v xml:space="preserve">Normal </v>
      </c>
      <c r="V106" s="15"/>
    </row>
    <row r="107" spans="1:22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25" t="str">
        <f t="shared" si="5"/>
        <v>Marketplace</v>
      </c>
      <c r="I107" s="1" t="s">
        <v>25</v>
      </c>
      <c r="J107" s="1" t="s">
        <v>49</v>
      </c>
      <c r="K107" s="1" t="s">
        <v>63</v>
      </c>
      <c r="L107" s="1" t="s">
        <v>47</v>
      </c>
      <c r="M107" s="1">
        <v>3</v>
      </c>
      <c r="N107" s="1">
        <v>3781.22</v>
      </c>
      <c r="O107" s="1">
        <v>5</v>
      </c>
      <c r="P107" s="31" t="str">
        <f t="shared" si="6"/>
        <v>Heavy</v>
      </c>
      <c r="Q107" s="1">
        <v>10776.48</v>
      </c>
      <c r="R107" s="27" t="str">
        <f t="shared" si="7"/>
        <v>Eligible</v>
      </c>
      <c r="S107" s="29" t="str">
        <f t="shared" si="8"/>
        <v>Excellent</v>
      </c>
      <c r="T107" s="33" t="str">
        <f t="shared" si="9"/>
        <v>Priority order</v>
      </c>
      <c r="V107" s="15"/>
    </row>
    <row r="108" spans="1:22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25" t="str">
        <f t="shared" si="5"/>
        <v>Online</v>
      </c>
      <c r="I108" s="1" t="s">
        <v>44</v>
      </c>
      <c r="J108" s="1" t="s">
        <v>52</v>
      </c>
      <c r="K108" s="1" t="s">
        <v>60</v>
      </c>
      <c r="L108" s="1" t="s">
        <v>45</v>
      </c>
      <c r="M108" s="1">
        <v>5</v>
      </c>
      <c r="N108" s="1">
        <v>1063.01</v>
      </c>
      <c r="O108" s="1">
        <v>15</v>
      </c>
      <c r="P108" s="31" t="str">
        <f t="shared" si="6"/>
        <v>Heavy</v>
      </c>
      <c r="Q108" s="1">
        <v>4517.79</v>
      </c>
      <c r="R108" s="27" t="str">
        <f t="shared" si="7"/>
        <v>Not</v>
      </c>
      <c r="S108" s="29" t="str">
        <f t="shared" si="8"/>
        <v>Good</v>
      </c>
      <c r="T108" s="33" t="str">
        <f t="shared" si="9"/>
        <v xml:space="preserve">Normal </v>
      </c>
      <c r="V108" s="15"/>
    </row>
    <row r="109" spans="1:22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25" t="str">
        <f t="shared" si="5"/>
        <v>Online</v>
      </c>
      <c r="I109" s="1" t="s">
        <v>18</v>
      </c>
      <c r="J109" s="1" t="s">
        <v>26</v>
      </c>
      <c r="K109" s="1" t="s">
        <v>36</v>
      </c>
      <c r="L109" s="1" t="s">
        <v>21</v>
      </c>
      <c r="M109" s="1">
        <v>2</v>
      </c>
      <c r="N109" s="1">
        <v>564.30999999999995</v>
      </c>
      <c r="O109" s="1">
        <v>15</v>
      </c>
      <c r="P109" s="31" t="str">
        <f t="shared" si="6"/>
        <v>Heavy</v>
      </c>
      <c r="Q109" s="1">
        <v>959.33</v>
      </c>
      <c r="R109" s="27" t="str">
        <f t="shared" si="7"/>
        <v>Not</v>
      </c>
      <c r="S109" s="29" t="str">
        <f t="shared" si="8"/>
        <v>Average</v>
      </c>
      <c r="T109" s="33" t="str">
        <f t="shared" si="9"/>
        <v xml:space="preserve">Normal </v>
      </c>
      <c r="V109" s="15"/>
    </row>
    <row r="110" spans="1:22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25" t="str">
        <f t="shared" si="5"/>
        <v>Online</v>
      </c>
      <c r="I110" s="1" t="s">
        <v>25</v>
      </c>
      <c r="J110" s="1" t="s">
        <v>57</v>
      </c>
      <c r="K110" s="1" t="s">
        <v>59</v>
      </c>
      <c r="L110" s="1" t="s">
        <v>21</v>
      </c>
      <c r="M110" s="1">
        <v>4</v>
      </c>
      <c r="N110" s="1">
        <v>3107.29</v>
      </c>
      <c r="O110" s="1">
        <v>10</v>
      </c>
      <c r="P110" s="31" t="str">
        <f t="shared" si="6"/>
        <v>Heavy</v>
      </c>
      <c r="Q110" s="1">
        <v>11186.24</v>
      </c>
      <c r="R110" s="27" t="str">
        <f t="shared" si="7"/>
        <v>Not</v>
      </c>
      <c r="S110" s="29" t="str">
        <f t="shared" si="8"/>
        <v>Excellent</v>
      </c>
      <c r="T110" s="33" t="str">
        <f t="shared" si="9"/>
        <v>Priority order</v>
      </c>
      <c r="V110" s="15"/>
    </row>
    <row r="111" spans="1:22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25" t="str">
        <f t="shared" si="5"/>
        <v>Online</v>
      </c>
      <c r="I111" s="1" t="s">
        <v>35</v>
      </c>
      <c r="J111" s="1" t="s">
        <v>52</v>
      </c>
      <c r="K111" s="1" t="s">
        <v>56</v>
      </c>
      <c r="L111" s="1" t="s">
        <v>47</v>
      </c>
      <c r="M111" s="1">
        <v>6</v>
      </c>
      <c r="N111" s="1">
        <v>2076.84</v>
      </c>
      <c r="O111" s="1">
        <v>20</v>
      </c>
      <c r="P111" s="31" t="str">
        <f t="shared" si="6"/>
        <v>Heavy</v>
      </c>
      <c r="Q111" s="1">
        <v>9968.83</v>
      </c>
      <c r="R111" s="27" t="str">
        <f t="shared" si="7"/>
        <v>Not</v>
      </c>
      <c r="S111" s="29" t="str">
        <f t="shared" si="8"/>
        <v>Excellent</v>
      </c>
      <c r="T111" s="33" t="str">
        <f t="shared" si="9"/>
        <v>Priority order</v>
      </c>
      <c r="V111" s="15"/>
    </row>
    <row r="112" spans="1:22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25" t="str">
        <f t="shared" si="5"/>
        <v>Marketplace</v>
      </c>
      <c r="I112" s="1" t="s">
        <v>35</v>
      </c>
      <c r="J112" s="1" t="s">
        <v>49</v>
      </c>
      <c r="K112" s="1" t="s">
        <v>68</v>
      </c>
      <c r="L112" s="1" t="s">
        <v>33</v>
      </c>
      <c r="M112" s="1">
        <v>1</v>
      </c>
      <c r="N112" s="1">
        <v>1820.02</v>
      </c>
      <c r="O112" s="1">
        <v>10</v>
      </c>
      <c r="P112" s="31" t="str">
        <f t="shared" si="6"/>
        <v>Heavy</v>
      </c>
      <c r="Q112" s="1">
        <v>1638.02</v>
      </c>
      <c r="R112" s="27" t="str">
        <f t="shared" si="7"/>
        <v>Not</v>
      </c>
      <c r="S112" s="29" t="str">
        <f t="shared" si="8"/>
        <v>Average</v>
      </c>
      <c r="T112" s="33" t="str">
        <f t="shared" si="9"/>
        <v xml:space="preserve">Normal </v>
      </c>
      <c r="V112" s="15"/>
    </row>
    <row r="113" spans="1:22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25" t="str">
        <f t="shared" si="5"/>
        <v>Marketplace</v>
      </c>
      <c r="I113" s="1" t="s">
        <v>18</v>
      </c>
      <c r="J113" s="1" t="s">
        <v>26</v>
      </c>
      <c r="K113" s="1" t="s">
        <v>36</v>
      </c>
      <c r="L113" s="1" t="s">
        <v>21</v>
      </c>
      <c r="M113" s="1">
        <v>4</v>
      </c>
      <c r="N113" s="1">
        <v>1110.5899999999999</v>
      </c>
      <c r="O113" s="1">
        <v>20</v>
      </c>
      <c r="P113" s="31" t="str">
        <f t="shared" si="6"/>
        <v>Heavy</v>
      </c>
      <c r="Q113" s="1">
        <v>3553.89</v>
      </c>
      <c r="R113" s="27" t="str">
        <f t="shared" si="7"/>
        <v>Not</v>
      </c>
      <c r="S113" s="29" t="str">
        <f t="shared" si="8"/>
        <v>Average</v>
      </c>
      <c r="T113" s="33" t="str">
        <f t="shared" si="9"/>
        <v xml:space="preserve">Normal </v>
      </c>
      <c r="V113" s="15"/>
    </row>
    <row r="114" spans="1:22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25" t="str">
        <f t="shared" si="5"/>
        <v>Online</v>
      </c>
      <c r="I114" s="1" t="s">
        <v>18</v>
      </c>
      <c r="J114" s="1" t="s">
        <v>26</v>
      </c>
      <c r="K114" s="1" t="s">
        <v>61</v>
      </c>
      <c r="L114" s="1" t="s">
        <v>21</v>
      </c>
      <c r="M114" s="1">
        <v>6</v>
      </c>
      <c r="N114" s="1">
        <v>2257.77</v>
      </c>
      <c r="O114" s="1">
        <v>20</v>
      </c>
      <c r="P114" s="31" t="str">
        <f t="shared" si="6"/>
        <v>Heavy</v>
      </c>
      <c r="Q114" s="1">
        <v>10837.3</v>
      </c>
      <c r="R114" s="27" t="str">
        <f t="shared" si="7"/>
        <v>Not</v>
      </c>
      <c r="S114" s="29" t="str">
        <f t="shared" si="8"/>
        <v>Excellent</v>
      </c>
      <c r="T114" s="33" t="str">
        <f t="shared" si="9"/>
        <v>Priority order</v>
      </c>
      <c r="V114" s="15"/>
    </row>
    <row r="115" spans="1:22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25" t="str">
        <f t="shared" si="5"/>
        <v>Marketplace</v>
      </c>
      <c r="I115" s="1" t="s">
        <v>25</v>
      </c>
      <c r="J115" s="1" t="s">
        <v>26</v>
      </c>
      <c r="K115" s="1" t="s">
        <v>69</v>
      </c>
      <c r="L115" s="1" t="s">
        <v>45</v>
      </c>
      <c r="M115" s="1">
        <v>9</v>
      </c>
      <c r="N115" s="1">
        <v>1206.3800000000001</v>
      </c>
      <c r="O115" s="1">
        <v>10</v>
      </c>
      <c r="P115" s="31" t="str">
        <f t="shared" si="6"/>
        <v>Heavy</v>
      </c>
      <c r="Q115" s="1">
        <v>9771.68</v>
      </c>
      <c r="R115" s="27" t="str">
        <f t="shared" si="7"/>
        <v>Not</v>
      </c>
      <c r="S115" s="29" t="str">
        <f t="shared" si="8"/>
        <v>Excellent</v>
      </c>
      <c r="T115" s="33" t="str">
        <f t="shared" si="9"/>
        <v>Priority order</v>
      </c>
      <c r="V115" s="15"/>
    </row>
    <row r="116" spans="1:22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25" t="str">
        <f t="shared" si="5"/>
        <v>Online</v>
      </c>
      <c r="I116" s="1" t="s">
        <v>42</v>
      </c>
      <c r="J116" s="1" t="s">
        <v>57</v>
      </c>
      <c r="K116" s="1" t="s">
        <v>62</v>
      </c>
      <c r="L116" s="1" t="s">
        <v>28</v>
      </c>
      <c r="M116" s="1">
        <v>2</v>
      </c>
      <c r="N116" s="1">
        <v>3621.09</v>
      </c>
      <c r="O116" s="1">
        <v>0</v>
      </c>
      <c r="P116" s="31" t="str">
        <f t="shared" si="6"/>
        <v>Normal</v>
      </c>
      <c r="Q116" s="1">
        <v>7242.18</v>
      </c>
      <c r="R116" s="27" t="str">
        <f t="shared" si="7"/>
        <v>Eligible</v>
      </c>
      <c r="S116" s="29" t="str">
        <f t="shared" si="8"/>
        <v>Excellent</v>
      </c>
      <c r="T116" s="33" t="str">
        <f t="shared" si="9"/>
        <v>Priority order</v>
      </c>
      <c r="V116" s="15"/>
    </row>
    <row r="117" spans="1:22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25" t="str">
        <f t="shared" si="5"/>
        <v>Marketplace</v>
      </c>
      <c r="I117" s="1" t="s">
        <v>18</v>
      </c>
      <c r="J117" s="1" t="s">
        <v>52</v>
      </c>
      <c r="K117" s="1" t="s">
        <v>60</v>
      </c>
      <c r="L117" s="1" t="s">
        <v>47</v>
      </c>
      <c r="M117" s="1">
        <v>7</v>
      </c>
      <c r="N117" s="1">
        <v>978.54</v>
      </c>
      <c r="O117" s="1">
        <v>15</v>
      </c>
      <c r="P117" s="31" t="str">
        <f t="shared" si="6"/>
        <v>Heavy</v>
      </c>
      <c r="Q117" s="1">
        <v>5822.31</v>
      </c>
      <c r="R117" s="27" t="str">
        <f t="shared" si="7"/>
        <v>Not</v>
      </c>
      <c r="S117" s="29" t="str">
        <f t="shared" si="8"/>
        <v>Good</v>
      </c>
      <c r="T117" s="33" t="str">
        <f t="shared" si="9"/>
        <v>Priority order</v>
      </c>
      <c r="V117" s="15"/>
    </row>
    <row r="118" spans="1:22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25" t="str">
        <f t="shared" si="5"/>
        <v>Online</v>
      </c>
      <c r="I118" s="1" t="s">
        <v>42</v>
      </c>
      <c r="J118" s="1" t="s">
        <v>57</v>
      </c>
      <c r="K118" s="1" t="s">
        <v>58</v>
      </c>
      <c r="L118" s="1" t="s">
        <v>47</v>
      </c>
      <c r="M118" s="1">
        <v>6</v>
      </c>
      <c r="N118" s="1">
        <v>3554.77</v>
      </c>
      <c r="O118" s="1">
        <v>20</v>
      </c>
      <c r="P118" s="31" t="str">
        <f t="shared" si="6"/>
        <v>Heavy</v>
      </c>
      <c r="Q118" s="1">
        <v>17062.900000000001</v>
      </c>
      <c r="R118" s="27" t="str">
        <f t="shared" si="7"/>
        <v>Not</v>
      </c>
      <c r="S118" s="29" t="str">
        <f t="shared" si="8"/>
        <v>Excellent</v>
      </c>
      <c r="T118" s="33" t="str">
        <f t="shared" si="9"/>
        <v>Priority order</v>
      </c>
      <c r="V118" s="15"/>
    </row>
    <row r="119" spans="1:22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25" t="str">
        <f t="shared" si="5"/>
        <v>Online</v>
      </c>
      <c r="I119" s="1" t="s">
        <v>44</v>
      </c>
      <c r="J119" s="1" t="s">
        <v>31</v>
      </c>
      <c r="K119" s="1" t="s">
        <v>48</v>
      </c>
      <c r="L119" s="1" t="s">
        <v>33</v>
      </c>
      <c r="M119" s="1">
        <v>2</v>
      </c>
      <c r="N119" s="1">
        <v>2303.71</v>
      </c>
      <c r="O119" s="1">
        <v>20</v>
      </c>
      <c r="P119" s="31" t="str">
        <f t="shared" si="6"/>
        <v>Heavy</v>
      </c>
      <c r="Q119" s="1">
        <v>3685.94</v>
      </c>
      <c r="R119" s="27" t="str">
        <f t="shared" si="7"/>
        <v>Not</v>
      </c>
      <c r="S119" s="29" t="str">
        <f t="shared" si="8"/>
        <v>Average</v>
      </c>
      <c r="T119" s="33" t="str">
        <f t="shared" si="9"/>
        <v xml:space="preserve">Normal </v>
      </c>
      <c r="V119" s="15"/>
    </row>
    <row r="120" spans="1:22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25" t="str">
        <f t="shared" si="5"/>
        <v>Online</v>
      </c>
      <c r="I120" s="1" t="s">
        <v>35</v>
      </c>
      <c r="J120" s="1" t="s">
        <v>31</v>
      </c>
      <c r="K120" s="1" t="s">
        <v>32</v>
      </c>
      <c r="L120" s="1" t="s">
        <v>33</v>
      </c>
      <c r="M120" s="1">
        <v>8</v>
      </c>
      <c r="N120" s="1">
        <v>3339.68</v>
      </c>
      <c r="O120" s="1">
        <v>0</v>
      </c>
      <c r="P120" s="31" t="str">
        <f t="shared" si="6"/>
        <v>Normal</v>
      </c>
      <c r="Q120" s="1">
        <v>26717.439999999999</v>
      </c>
      <c r="R120" s="27" t="str">
        <f t="shared" si="7"/>
        <v>Eligible</v>
      </c>
      <c r="S120" s="29" t="str">
        <f t="shared" si="8"/>
        <v>Excellent</v>
      </c>
      <c r="T120" s="33" t="str">
        <f t="shared" si="9"/>
        <v>Priority order</v>
      </c>
      <c r="V120" s="15"/>
    </row>
    <row r="121" spans="1:22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25" t="str">
        <f t="shared" si="5"/>
        <v>Online</v>
      </c>
      <c r="I121" s="1" t="s">
        <v>42</v>
      </c>
      <c r="J121" s="1" t="s">
        <v>52</v>
      </c>
      <c r="K121" s="1" t="s">
        <v>53</v>
      </c>
      <c r="L121" s="1" t="s">
        <v>47</v>
      </c>
      <c r="M121" s="1">
        <v>7</v>
      </c>
      <c r="N121" s="1">
        <v>2894.46</v>
      </c>
      <c r="O121" s="1">
        <v>5</v>
      </c>
      <c r="P121" s="31" t="str">
        <f t="shared" si="6"/>
        <v>Heavy</v>
      </c>
      <c r="Q121" s="1">
        <v>19248.16</v>
      </c>
      <c r="R121" s="27" t="str">
        <f t="shared" si="7"/>
        <v>Eligible</v>
      </c>
      <c r="S121" s="29" t="str">
        <f t="shared" si="8"/>
        <v>Excellent</v>
      </c>
      <c r="T121" s="33" t="str">
        <f t="shared" si="9"/>
        <v>Priority order</v>
      </c>
      <c r="V121" s="15"/>
    </row>
    <row r="122" spans="1:22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25" t="str">
        <f t="shared" si="5"/>
        <v>Online</v>
      </c>
      <c r="I122" s="1" t="s">
        <v>35</v>
      </c>
      <c r="J122" s="1" t="s">
        <v>57</v>
      </c>
      <c r="K122" s="1" t="s">
        <v>62</v>
      </c>
      <c r="L122" s="1" t="s">
        <v>33</v>
      </c>
      <c r="M122" s="1">
        <v>5</v>
      </c>
      <c r="N122" s="1">
        <v>2832.28</v>
      </c>
      <c r="O122" s="1">
        <v>0</v>
      </c>
      <c r="P122" s="31" t="str">
        <f t="shared" si="6"/>
        <v>Normal</v>
      </c>
      <c r="Q122" s="1">
        <v>14161.4</v>
      </c>
      <c r="R122" s="27" t="str">
        <f t="shared" si="7"/>
        <v>Eligible</v>
      </c>
      <c r="S122" s="29" t="str">
        <f t="shared" si="8"/>
        <v>Excellent</v>
      </c>
      <c r="T122" s="33" t="str">
        <f t="shared" si="9"/>
        <v>Priority order</v>
      </c>
      <c r="V122" s="15"/>
    </row>
    <row r="123" spans="1:22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25" t="str">
        <f t="shared" si="5"/>
        <v>Online</v>
      </c>
      <c r="I123" s="1" t="s">
        <v>42</v>
      </c>
      <c r="J123" s="1" t="s">
        <v>49</v>
      </c>
      <c r="K123" s="1" t="s">
        <v>63</v>
      </c>
      <c r="L123" s="1" t="s">
        <v>45</v>
      </c>
      <c r="M123" s="1">
        <v>5</v>
      </c>
      <c r="N123" s="1">
        <v>1398.73</v>
      </c>
      <c r="O123" s="1">
        <v>0</v>
      </c>
      <c r="P123" s="31" t="str">
        <f t="shared" si="6"/>
        <v>Normal</v>
      </c>
      <c r="Q123" s="1">
        <v>6993.65</v>
      </c>
      <c r="R123" s="27" t="str">
        <f t="shared" si="7"/>
        <v>Eligible</v>
      </c>
      <c r="S123" s="29" t="str">
        <f t="shared" si="8"/>
        <v>Good</v>
      </c>
      <c r="T123" s="33" t="str">
        <f t="shared" si="9"/>
        <v xml:space="preserve">Normal </v>
      </c>
      <c r="V123" s="15"/>
    </row>
    <row r="124" spans="1:22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25" t="str">
        <f t="shared" si="5"/>
        <v>Online</v>
      </c>
      <c r="I124" s="1" t="s">
        <v>44</v>
      </c>
      <c r="J124" s="1" t="s">
        <v>26</v>
      </c>
      <c r="K124" s="1" t="s">
        <v>69</v>
      </c>
      <c r="L124" s="1" t="s">
        <v>47</v>
      </c>
      <c r="M124" s="1">
        <v>7</v>
      </c>
      <c r="N124" s="1">
        <v>1050.5</v>
      </c>
      <c r="O124" s="1">
        <v>20</v>
      </c>
      <c r="P124" s="31" t="str">
        <f t="shared" si="6"/>
        <v>Heavy</v>
      </c>
      <c r="Q124" s="1">
        <v>5882.8</v>
      </c>
      <c r="R124" s="27" t="str">
        <f t="shared" si="7"/>
        <v>Not</v>
      </c>
      <c r="S124" s="29" t="str">
        <f t="shared" si="8"/>
        <v>Good</v>
      </c>
      <c r="T124" s="33" t="str">
        <f t="shared" si="9"/>
        <v>Priority order</v>
      </c>
      <c r="V124" s="15"/>
    </row>
    <row r="125" spans="1:22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25" t="str">
        <f t="shared" si="5"/>
        <v>Online</v>
      </c>
      <c r="I125" s="1" t="s">
        <v>18</v>
      </c>
      <c r="J125" s="1" t="s">
        <v>26</v>
      </c>
      <c r="K125" s="1" t="s">
        <v>61</v>
      </c>
      <c r="L125" s="1" t="s">
        <v>33</v>
      </c>
      <c r="M125" s="1">
        <v>9</v>
      </c>
      <c r="N125" s="1">
        <v>961.91</v>
      </c>
      <c r="O125" s="1">
        <v>15</v>
      </c>
      <c r="P125" s="31" t="str">
        <f t="shared" si="6"/>
        <v>Heavy</v>
      </c>
      <c r="Q125" s="1">
        <v>7358.61</v>
      </c>
      <c r="R125" s="27" t="str">
        <f t="shared" si="7"/>
        <v>Not</v>
      </c>
      <c r="S125" s="29" t="str">
        <f t="shared" si="8"/>
        <v>Excellent</v>
      </c>
      <c r="T125" s="33" t="str">
        <f t="shared" si="9"/>
        <v>Priority order</v>
      </c>
      <c r="V125" s="15"/>
    </row>
    <row r="126" spans="1:22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25" t="str">
        <f t="shared" si="5"/>
        <v>Marketplace</v>
      </c>
      <c r="I126" s="1" t="s">
        <v>44</v>
      </c>
      <c r="J126" s="1" t="s">
        <v>52</v>
      </c>
      <c r="K126" s="1" t="s">
        <v>64</v>
      </c>
      <c r="L126" s="1" t="s">
        <v>47</v>
      </c>
      <c r="M126" s="1">
        <v>9</v>
      </c>
      <c r="N126" s="1">
        <v>3450.19</v>
      </c>
      <c r="O126" s="1">
        <v>0</v>
      </c>
      <c r="P126" s="31" t="str">
        <f t="shared" si="6"/>
        <v>Normal</v>
      </c>
      <c r="Q126" s="1">
        <v>31051.71</v>
      </c>
      <c r="R126" s="27" t="str">
        <f t="shared" si="7"/>
        <v>Eligible</v>
      </c>
      <c r="S126" s="29" t="str">
        <f t="shared" si="8"/>
        <v>Excellent</v>
      </c>
      <c r="T126" s="33" t="str">
        <f t="shared" si="9"/>
        <v>Priority order</v>
      </c>
      <c r="V126" s="15"/>
    </row>
    <row r="127" spans="1:22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25" t="str">
        <f t="shared" si="5"/>
        <v>Online</v>
      </c>
      <c r="I127" s="1" t="s">
        <v>18</v>
      </c>
      <c r="J127" s="1" t="s">
        <v>31</v>
      </c>
      <c r="K127" s="1" t="s">
        <v>48</v>
      </c>
      <c r="L127" s="1" t="s">
        <v>28</v>
      </c>
      <c r="M127" s="1">
        <v>9</v>
      </c>
      <c r="N127" s="1">
        <v>3308.64</v>
      </c>
      <c r="O127" s="1">
        <v>5</v>
      </c>
      <c r="P127" s="31" t="str">
        <f t="shared" si="6"/>
        <v>Heavy</v>
      </c>
      <c r="Q127" s="1">
        <v>28288.87</v>
      </c>
      <c r="R127" s="27" t="str">
        <f t="shared" si="7"/>
        <v>Eligible</v>
      </c>
      <c r="S127" s="29" t="str">
        <f t="shared" si="8"/>
        <v>Excellent</v>
      </c>
      <c r="T127" s="33" t="str">
        <f t="shared" si="9"/>
        <v>Priority order</v>
      </c>
      <c r="V127" s="15"/>
    </row>
    <row r="128" spans="1:22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25" t="str">
        <f t="shared" si="5"/>
        <v>Online</v>
      </c>
      <c r="I128" s="1" t="s">
        <v>18</v>
      </c>
      <c r="J128" s="1" t="s">
        <v>31</v>
      </c>
      <c r="K128" s="1" t="s">
        <v>39</v>
      </c>
      <c r="L128" s="1" t="s">
        <v>21</v>
      </c>
      <c r="M128" s="1">
        <v>6</v>
      </c>
      <c r="N128" s="1">
        <v>1846.21</v>
      </c>
      <c r="O128" s="1">
        <v>10</v>
      </c>
      <c r="P128" s="31" t="str">
        <f t="shared" si="6"/>
        <v>Heavy</v>
      </c>
      <c r="Q128" s="1">
        <v>9969.5300000000007</v>
      </c>
      <c r="R128" s="27" t="str">
        <f t="shared" si="7"/>
        <v>Not</v>
      </c>
      <c r="S128" s="29" t="str">
        <f t="shared" si="8"/>
        <v>Excellent</v>
      </c>
      <c r="T128" s="33" t="str">
        <f t="shared" si="9"/>
        <v>Priority order</v>
      </c>
      <c r="V128" s="15"/>
    </row>
    <row r="129" spans="1:22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25" t="str">
        <f t="shared" si="5"/>
        <v>Marketplace</v>
      </c>
      <c r="I129" s="1" t="s">
        <v>35</v>
      </c>
      <c r="J129" s="1" t="s">
        <v>26</v>
      </c>
      <c r="K129" s="1" t="s">
        <v>61</v>
      </c>
      <c r="L129" s="1" t="s">
        <v>47</v>
      </c>
      <c r="M129" s="1">
        <v>6</v>
      </c>
      <c r="N129" s="1">
        <v>659.76</v>
      </c>
      <c r="O129" s="1">
        <v>0</v>
      </c>
      <c r="P129" s="31" t="str">
        <f t="shared" si="6"/>
        <v>Normal</v>
      </c>
      <c r="Q129" s="1">
        <v>3958.56</v>
      </c>
      <c r="R129" s="27" t="str">
        <f t="shared" si="7"/>
        <v>Not</v>
      </c>
      <c r="S129" s="29" t="str">
        <f t="shared" si="8"/>
        <v>Average</v>
      </c>
      <c r="T129" s="33" t="str">
        <f t="shared" si="9"/>
        <v>Priority order</v>
      </c>
      <c r="V129" s="15"/>
    </row>
    <row r="130" spans="1:22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25" t="str">
        <f t="shared" si="5"/>
        <v>Online</v>
      </c>
      <c r="I130" s="1" t="s">
        <v>44</v>
      </c>
      <c r="J130" s="1" t="s">
        <v>52</v>
      </c>
      <c r="K130" s="1" t="s">
        <v>56</v>
      </c>
      <c r="L130" s="1" t="s">
        <v>21</v>
      </c>
      <c r="M130" s="1">
        <v>3</v>
      </c>
      <c r="N130" s="1">
        <v>1621.67</v>
      </c>
      <c r="O130" s="1">
        <v>0</v>
      </c>
      <c r="P130" s="31" t="str">
        <f t="shared" si="6"/>
        <v>Normal</v>
      </c>
      <c r="Q130" s="1">
        <v>4865.01</v>
      </c>
      <c r="R130" s="27" t="str">
        <f t="shared" si="7"/>
        <v>Not</v>
      </c>
      <c r="S130" s="29" t="str">
        <f t="shared" si="8"/>
        <v>Good</v>
      </c>
      <c r="T130" s="33" t="str">
        <f t="shared" si="9"/>
        <v xml:space="preserve">Normal </v>
      </c>
      <c r="V130" s="15"/>
    </row>
    <row r="131" spans="1:22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25" t="str">
        <f t="shared" ref="H131:H194" si="10">IF(G131:G630&lt;&gt; "Marketplace","Online","Marketplace")</f>
        <v>Online</v>
      </c>
      <c r="I131" s="1" t="s">
        <v>42</v>
      </c>
      <c r="J131" s="1" t="s">
        <v>57</v>
      </c>
      <c r="K131" s="1" t="s">
        <v>62</v>
      </c>
      <c r="L131" s="1" t="s">
        <v>33</v>
      </c>
      <c r="M131" s="1">
        <v>1</v>
      </c>
      <c r="N131" s="1">
        <v>2534.4699999999998</v>
      </c>
      <c r="O131" s="1">
        <v>5</v>
      </c>
      <c r="P131" s="31" t="str">
        <f t="shared" ref="P131:P194" si="11">IF(O131&gt;10%,"Heavy","Normal")</f>
        <v>Heavy</v>
      </c>
      <c r="Q131" s="1">
        <v>2407.75</v>
      </c>
      <c r="R131" s="27" t="str">
        <f t="shared" ref="R131:R194" si="12">IF(AND($Q$2:$Q$501 &gt; 5000, $O$2:$O$501&lt;10),"Eligible","Not")</f>
        <v>Not</v>
      </c>
      <c r="S131" s="29" t="str">
        <f t="shared" ref="S131:S194" si="13">IF(Q131&gt;=7000,"Excellent",(IF(Q131&gt;=4000,"Good","Average")))</f>
        <v>Average</v>
      </c>
      <c r="T131" s="33" t="str">
        <f t="shared" ref="T131:T194" si="14">IF(OR(Q131&gt;7000,M131&gt;5),"Priority order","Normal ")</f>
        <v xml:space="preserve">Normal </v>
      </c>
      <c r="V131" s="15"/>
    </row>
    <row r="132" spans="1:22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25" t="str">
        <f t="shared" si="10"/>
        <v>Online</v>
      </c>
      <c r="I132" s="1" t="s">
        <v>44</v>
      </c>
      <c r="J132" s="1" t="s">
        <v>31</v>
      </c>
      <c r="K132" s="1" t="s">
        <v>32</v>
      </c>
      <c r="L132" s="1" t="s">
        <v>21</v>
      </c>
      <c r="M132" s="1">
        <v>7</v>
      </c>
      <c r="N132" s="1">
        <v>1899.45</v>
      </c>
      <c r="O132" s="1">
        <v>15</v>
      </c>
      <c r="P132" s="31" t="str">
        <f t="shared" si="11"/>
        <v>Heavy</v>
      </c>
      <c r="Q132" s="1">
        <v>11301.73</v>
      </c>
      <c r="R132" s="27" t="str">
        <f t="shared" si="12"/>
        <v>Not</v>
      </c>
      <c r="S132" s="29" t="str">
        <f t="shared" si="13"/>
        <v>Excellent</v>
      </c>
      <c r="T132" s="33" t="str">
        <f t="shared" si="14"/>
        <v>Priority order</v>
      </c>
      <c r="V132" s="15"/>
    </row>
    <row r="133" spans="1:22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25" t="str">
        <f t="shared" si="10"/>
        <v>Online</v>
      </c>
      <c r="I133" s="1" t="s">
        <v>35</v>
      </c>
      <c r="J133" s="1" t="s">
        <v>57</v>
      </c>
      <c r="K133" s="1" t="s">
        <v>58</v>
      </c>
      <c r="L133" s="1" t="s">
        <v>47</v>
      </c>
      <c r="M133" s="1">
        <v>4</v>
      </c>
      <c r="N133" s="1">
        <v>3153.73</v>
      </c>
      <c r="O133" s="1">
        <v>0</v>
      </c>
      <c r="P133" s="31" t="str">
        <f t="shared" si="11"/>
        <v>Normal</v>
      </c>
      <c r="Q133" s="1">
        <v>12614.92</v>
      </c>
      <c r="R133" s="27" t="str">
        <f t="shared" si="12"/>
        <v>Eligible</v>
      </c>
      <c r="S133" s="29" t="str">
        <f t="shared" si="13"/>
        <v>Excellent</v>
      </c>
      <c r="T133" s="33" t="str">
        <f t="shared" si="14"/>
        <v>Priority order</v>
      </c>
      <c r="V133" s="15"/>
    </row>
    <row r="134" spans="1:22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25" t="str">
        <f t="shared" si="10"/>
        <v>Online</v>
      </c>
      <c r="I134" s="1" t="s">
        <v>18</v>
      </c>
      <c r="J134" s="1" t="s">
        <v>31</v>
      </c>
      <c r="K134" s="1" t="s">
        <v>48</v>
      </c>
      <c r="L134" s="1" t="s">
        <v>28</v>
      </c>
      <c r="M134" s="1">
        <v>1</v>
      </c>
      <c r="N134" s="1">
        <v>3990.85</v>
      </c>
      <c r="O134" s="1">
        <v>0</v>
      </c>
      <c r="P134" s="31" t="str">
        <f t="shared" si="11"/>
        <v>Normal</v>
      </c>
      <c r="Q134" s="1">
        <v>3990.85</v>
      </c>
      <c r="R134" s="27" t="str">
        <f t="shared" si="12"/>
        <v>Not</v>
      </c>
      <c r="S134" s="29" t="str">
        <f t="shared" si="13"/>
        <v>Average</v>
      </c>
      <c r="T134" s="33" t="str">
        <f t="shared" si="14"/>
        <v xml:space="preserve">Normal </v>
      </c>
      <c r="V134" s="15"/>
    </row>
    <row r="135" spans="1:22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25" t="str">
        <f t="shared" si="10"/>
        <v>Online</v>
      </c>
      <c r="I135" s="1" t="s">
        <v>35</v>
      </c>
      <c r="J135" s="1" t="s">
        <v>31</v>
      </c>
      <c r="K135" s="1" t="s">
        <v>65</v>
      </c>
      <c r="L135" s="1" t="s">
        <v>33</v>
      </c>
      <c r="M135" s="1">
        <v>8</v>
      </c>
      <c r="N135" s="1">
        <v>885.86</v>
      </c>
      <c r="O135" s="1">
        <v>15</v>
      </c>
      <c r="P135" s="31" t="str">
        <f t="shared" si="11"/>
        <v>Heavy</v>
      </c>
      <c r="Q135" s="1">
        <v>6023.85</v>
      </c>
      <c r="R135" s="27" t="str">
        <f t="shared" si="12"/>
        <v>Not</v>
      </c>
      <c r="S135" s="29" t="str">
        <f t="shared" si="13"/>
        <v>Good</v>
      </c>
      <c r="T135" s="33" t="str">
        <f t="shared" si="14"/>
        <v>Priority order</v>
      </c>
      <c r="V135" s="15"/>
    </row>
    <row r="136" spans="1:22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25" t="str">
        <f t="shared" si="10"/>
        <v>Online</v>
      </c>
      <c r="I136" s="1" t="s">
        <v>25</v>
      </c>
      <c r="J136" s="1" t="s">
        <v>19</v>
      </c>
      <c r="K136" s="1" t="s">
        <v>43</v>
      </c>
      <c r="L136" s="1" t="s">
        <v>47</v>
      </c>
      <c r="M136" s="1">
        <v>6</v>
      </c>
      <c r="N136" s="1">
        <v>1919.66</v>
      </c>
      <c r="O136" s="1">
        <v>5</v>
      </c>
      <c r="P136" s="31" t="str">
        <f t="shared" si="11"/>
        <v>Heavy</v>
      </c>
      <c r="Q136" s="1">
        <v>10942.06</v>
      </c>
      <c r="R136" s="27" t="str">
        <f t="shared" si="12"/>
        <v>Eligible</v>
      </c>
      <c r="S136" s="29" t="str">
        <f t="shared" si="13"/>
        <v>Excellent</v>
      </c>
      <c r="T136" s="33" t="str">
        <f t="shared" si="14"/>
        <v>Priority order</v>
      </c>
      <c r="V136" s="15"/>
    </row>
    <row r="137" spans="1:22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25" t="str">
        <f t="shared" si="10"/>
        <v>Online</v>
      </c>
      <c r="I137" s="1" t="s">
        <v>25</v>
      </c>
      <c r="J137" s="1" t="s">
        <v>31</v>
      </c>
      <c r="K137" s="1" t="s">
        <v>39</v>
      </c>
      <c r="L137" s="1" t="s">
        <v>33</v>
      </c>
      <c r="M137" s="1">
        <v>6</v>
      </c>
      <c r="N137" s="1">
        <v>1809.29</v>
      </c>
      <c r="O137" s="1">
        <v>0</v>
      </c>
      <c r="P137" s="31" t="str">
        <f t="shared" si="11"/>
        <v>Normal</v>
      </c>
      <c r="Q137" s="1">
        <v>10855.74</v>
      </c>
      <c r="R137" s="27" t="str">
        <f t="shared" si="12"/>
        <v>Eligible</v>
      </c>
      <c r="S137" s="29" t="str">
        <f t="shared" si="13"/>
        <v>Excellent</v>
      </c>
      <c r="T137" s="33" t="str">
        <f t="shared" si="14"/>
        <v>Priority order</v>
      </c>
      <c r="V137" s="15"/>
    </row>
    <row r="138" spans="1:22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25" t="str">
        <f t="shared" si="10"/>
        <v>Online</v>
      </c>
      <c r="I138" s="1" t="s">
        <v>42</v>
      </c>
      <c r="J138" s="1" t="s">
        <v>49</v>
      </c>
      <c r="K138" s="1" t="s">
        <v>50</v>
      </c>
      <c r="L138" s="1" t="s">
        <v>45</v>
      </c>
      <c r="M138" s="1">
        <v>2</v>
      </c>
      <c r="N138" s="1">
        <v>1322.3</v>
      </c>
      <c r="O138" s="1">
        <v>15</v>
      </c>
      <c r="P138" s="31" t="str">
        <f t="shared" si="11"/>
        <v>Heavy</v>
      </c>
      <c r="Q138" s="1">
        <v>2247.91</v>
      </c>
      <c r="R138" s="27" t="str">
        <f t="shared" si="12"/>
        <v>Not</v>
      </c>
      <c r="S138" s="29" t="str">
        <f t="shared" si="13"/>
        <v>Average</v>
      </c>
      <c r="T138" s="33" t="str">
        <f t="shared" si="14"/>
        <v xml:space="preserve">Normal </v>
      </c>
      <c r="V138" s="15"/>
    </row>
    <row r="139" spans="1:22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25" t="str">
        <f t="shared" si="10"/>
        <v>Online</v>
      </c>
      <c r="I139" s="1" t="s">
        <v>35</v>
      </c>
      <c r="J139" s="1" t="s">
        <v>52</v>
      </c>
      <c r="K139" s="1" t="s">
        <v>53</v>
      </c>
      <c r="L139" s="1" t="s">
        <v>21</v>
      </c>
      <c r="M139" s="1">
        <v>1</v>
      </c>
      <c r="N139" s="1">
        <v>912.67</v>
      </c>
      <c r="O139" s="1">
        <v>0</v>
      </c>
      <c r="P139" s="31" t="str">
        <f t="shared" si="11"/>
        <v>Normal</v>
      </c>
      <c r="Q139" s="1">
        <v>912.67</v>
      </c>
      <c r="R139" s="27" t="str">
        <f t="shared" si="12"/>
        <v>Not</v>
      </c>
      <c r="S139" s="29" t="str">
        <f t="shared" si="13"/>
        <v>Average</v>
      </c>
      <c r="T139" s="33" t="str">
        <f t="shared" si="14"/>
        <v xml:space="preserve">Normal </v>
      </c>
      <c r="V139" s="15"/>
    </row>
    <row r="140" spans="1:22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25" t="str">
        <f t="shared" si="10"/>
        <v>Online</v>
      </c>
      <c r="I140" s="1" t="s">
        <v>42</v>
      </c>
      <c r="J140" s="1" t="s">
        <v>52</v>
      </c>
      <c r="K140" s="1" t="s">
        <v>53</v>
      </c>
      <c r="L140" s="1" t="s">
        <v>45</v>
      </c>
      <c r="M140" s="1">
        <v>2</v>
      </c>
      <c r="N140" s="1">
        <v>402.91</v>
      </c>
      <c r="O140" s="1">
        <v>10</v>
      </c>
      <c r="P140" s="31" t="str">
        <f t="shared" si="11"/>
        <v>Heavy</v>
      </c>
      <c r="Q140" s="1">
        <v>725.24</v>
      </c>
      <c r="R140" s="27" t="str">
        <f t="shared" si="12"/>
        <v>Not</v>
      </c>
      <c r="S140" s="29" t="str">
        <f t="shared" si="13"/>
        <v>Average</v>
      </c>
      <c r="T140" s="33" t="str">
        <f t="shared" si="14"/>
        <v xml:space="preserve">Normal </v>
      </c>
      <c r="V140" s="15"/>
    </row>
    <row r="141" spans="1:22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25" t="str">
        <f t="shared" si="10"/>
        <v>Marketplace</v>
      </c>
      <c r="I141" s="1" t="s">
        <v>42</v>
      </c>
      <c r="J141" s="1" t="s">
        <v>57</v>
      </c>
      <c r="K141" s="1" t="s">
        <v>59</v>
      </c>
      <c r="L141" s="1" t="s">
        <v>47</v>
      </c>
      <c r="M141" s="1">
        <v>4</v>
      </c>
      <c r="N141" s="1">
        <v>3565.41</v>
      </c>
      <c r="O141" s="1">
        <v>20</v>
      </c>
      <c r="P141" s="31" t="str">
        <f t="shared" si="11"/>
        <v>Heavy</v>
      </c>
      <c r="Q141" s="1">
        <v>11409.31</v>
      </c>
      <c r="R141" s="27" t="str">
        <f t="shared" si="12"/>
        <v>Not</v>
      </c>
      <c r="S141" s="29" t="str">
        <f t="shared" si="13"/>
        <v>Excellent</v>
      </c>
      <c r="T141" s="33" t="str">
        <f t="shared" si="14"/>
        <v>Priority order</v>
      </c>
      <c r="V141" s="15"/>
    </row>
    <row r="142" spans="1:22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25" t="str">
        <f t="shared" si="10"/>
        <v>Online</v>
      </c>
      <c r="I142" s="1" t="s">
        <v>25</v>
      </c>
      <c r="J142" s="1" t="s">
        <v>31</v>
      </c>
      <c r="K142" s="1" t="s">
        <v>39</v>
      </c>
      <c r="L142" s="1" t="s">
        <v>28</v>
      </c>
      <c r="M142" s="1">
        <v>2</v>
      </c>
      <c r="N142" s="1">
        <v>1766.42</v>
      </c>
      <c r="O142" s="1">
        <v>10</v>
      </c>
      <c r="P142" s="31" t="str">
        <f t="shared" si="11"/>
        <v>Heavy</v>
      </c>
      <c r="Q142" s="1">
        <v>3179.56</v>
      </c>
      <c r="R142" s="27" t="str">
        <f t="shared" si="12"/>
        <v>Not</v>
      </c>
      <c r="S142" s="29" t="str">
        <f t="shared" si="13"/>
        <v>Average</v>
      </c>
      <c r="T142" s="33" t="str">
        <f t="shared" si="14"/>
        <v xml:space="preserve">Normal </v>
      </c>
      <c r="V142" s="15"/>
    </row>
    <row r="143" spans="1:22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25" t="str">
        <f t="shared" si="10"/>
        <v>Online</v>
      </c>
      <c r="I143" s="1" t="s">
        <v>42</v>
      </c>
      <c r="J143" s="1" t="s">
        <v>49</v>
      </c>
      <c r="K143" s="1" t="s">
        <v>51</v>
      </c>
      <c r="L143" s="1" t="s">
        <v>33</v>
      </c>
      <c r="M143" s="1">
        <v>1</v>
      </c>
      <c r="N143" s="1">
        <v>2063.0500000000002</v>
      </c>
      <c r="O143" s="1">
        <v>0</v>
      </c>
      <c r="P143" s="31" t="str">
        <f t="shared" si="11"/>
        <v>Normal</v>
      </c>
      <c r="Q143" s="1">
        <v>2063.0500000000002</v>
      </c>
      <c r="R143" s="27" t="str">
        <f t="shared" si="12"/>
        <v>Not</v>
      </c>
      <c r="S143" s="29" t="str">
        <f t="shared" si="13"/>
        <v>Average</v>
      </c>
      <c r="T143" s="33" t="str">
        <f t="shared" si="14"/>
        <v xml:space="preserve">Normal </v>
      </c>
      <c r="V143" s="15"/>
    </row>
    <row r="144" spans="1:22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25" t="str">
        <f t="shared" si="10"/>
        <v>Marketplace</v>
      </c>
      <c r="I144" s="1" t="s">
        <v>25</v>
      </c>
      <c r="J144" s="1" t="s">
        <v>57</v>
      </c>
      <c r="K144" s="1" t="s">
        <v>58</v>
      </c>
      <c r="L144" s="1" t="s">
        <v>21</v>
      </c>
      <c r="M144" s="1">
        <v>7</v>
      </c>
      <c r="N144" s="1">
        <v>3680.23</v>
      </c>
      <c r="O144" s="1">
        <v>5</v>
      </c>
      <c r="P144" s="31" t="str">
        <f t="shared" si="11"/>
        <v>Heavy</v>
      </c>
      <c r="Q144" s="1">
        <v>24473.53</v>
      </c>
      <c r="R144" s="27" t="str">
        <f t="shared" si="12"/>
        <v>Eligible</v>
      </c>
      <c r="S144" s="29" t="str">
        <f t="shared" si="13"/>
        <v>Excellent</v>
      </c>
      <c r="T144" s="33" t="str">
        <f t="shared" si="14"/>
        <v>Priority order</v>
      </c>
      <c r="V144" s="15"/>
    </row>
    <row r="145" spans="1:22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25" t="str">
        <f t="shared" si="10"/>
        <v>Marketplace</v>
      </c>
      <c r="I145" s="1" t="s">
        <v>18</v>
      </c>
      <c r="J145" s="1" t="s">
        <v>19</v>
      </c>
      <c r="K145" s="1" t="s">
        <v>55</v>
      </c>
      <c r="L145" s="1" t="s">
        <v>33</v>
      </c>
      <c r="M145" s="1">
        <v>8</v>
      </c>
      <c r="N145" s="1">
        <v>3138.72</v>
      </c>
      <c r="O145" s="1">
        <v>20</v>
      </c>
      <c r="P145" s="31" t="str">
        <f t="shared" si="11"/>
        <v>Heavy</v>
      </c>
      <c r="Q145" s="1">
        <v>20087.810000000001</v>
      </c>
      <c r="R145" s="27" t="str">
        <f t="shared" si="12"/>
        <v>Not</v>
      </c>
      <c r="S145" s="29" t="str">
        <f t="shared" si="13"/>
        <v>Excellent</v>
      </c>
      <c r="T145" s="33" t="str">
        <f t="shared" si="14"/>
        <v>Priority order</v>
      </c>
      <c r="V145" s="15"/>
    </row>
    <row r="146" spans="1:22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25" t="str">
        <f t="shared" si="10"/>
        <v>Online</v>
      </c>
      <c r="I146" s="1" t="s">
        <v>35</v>
      </c>
      <c r="J146" s="1" t="s">
        <v>57</v>
      </c>
      <c r="K146" s="1" t="s">
        <v>59</v>
      </c>
      <c r="L146" s="1" t="s">
        <v>47</v>
      </c>
      <c r="M146" s="1">
        <v>6</v>
      </c>
      <c r="N146" s="1">
        <v>652.42999999999995</v>
      </c>
      <c r="O146" s="1">
        <v>10</v>
      </c>
      <c r="P146" s="31" t="str">
        <f t="shared" si="11"/>
        <v>Heavy</v>
      </c>
      <c r="Q146" s="1">
        <v>3523.12</v>
      </c>
      <c r="R146" s="27" t="str">
        <f t="shared" si="12"/>
        <v>Not</v>
      </c>
      <c r="S146" s="29" t="str">
        <f t="shared" si="13"/>
        <v>Average</v>
      </c>
      <c r="T146" s="33" t="str">
        <f t="shared" si="14"/>
        <v>Priority order</v>
      </c>
      <c r="V146" s="15"/>
    </row>
    <row r="147" spans="1:22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25" t="str">
        <f t="shared" si="10"/>
        <v>Marketplace</v>
      </c>
      <c r="I147" s="1" t="s">
        <v>42</v>
      </c>
      <c r="J147" s="1" t="s">
        <v>57</v>
      </c>
      <c r="K147" s="1" t="s">
        <v>62</v>
      </c>
      <c r="L147" s="1" t="s">
        <v>33</v>
      </c>
      <c r="M147" s="1">
        <v>4</v>
      </c>
      <c r="N147" s="1">
        <v>2326.87</v>
      </c>
      <c r="O147" s="1">
        <v>15</v>
      </c>
      <c r="P147" s="31" t="str">
        <f t="shared" si="11"/>
        <v>Heavy</v>
      </c>
      <c r="Q147" s="1">
        <v>7911.36</v>
      </c>
      <c r="R147" s="27" t="str">
        <f t="shared" si="12"/>
        <v>Not</v>
      </c>
      <c r="S147" s="29" t="str">
        <f t="shared" si="13"/>
        <v>Excellent</v>
      </c>
      <c r="T147" s="33" t="str">
        <f t="shared" si="14"/>
        <v>Priority order</v>
      </c>
      <c r="V147" s="15"/>
    </row>
    <row r="148" spans="1:22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25" t="str">
        <f t="shared" si="10"/>
        <v>Online</v>
      </c>
      <c r="I148" s="1" t="s">
        <v>25</v>
      </c>
      <c r="J148" s="1" t="s">
        <v>31</v>
      </c>
      <c r="K148" s="1" t="s">
        <v>48</v>
      </c>
      <c r="L148" s="1" t="s">
        <v>21</v>
      </c>
      <c r="M148" s="1">
        <v>6</v>
      </c>
      <c r="N148" s="1">
        <v>1852.67</v>
      </c>
      <c r="O148" s="1">
        <v>5</v>
      </c>
      <c r="P148" s="31" t="str">
        <f t="shared" si="11"/>
        <v>Heavy</v>
      </c>
      <c r="Q148" s="1">
        <v>10560.22</v>
      </c>
      <c r="R148" s="27" t="str">
        <f t="shared" si="12"/>
        <v>Eligible</v>
      </c>
      <c r="S148" s="29" t="str">
        <f t="shared" si="13"/>
        <v>Excellent</v>
      </c>
      <c r="T148" s="33" t="str">
        <f t="shared" si="14"/>
        <v>Priority order</v>
      </c>
      <c r="V148" s="15"/>
    </row>
    <row r="149" spans="1:22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25" t="str">
        <f t="shared" si="10"/>
        <v>Marketplace</v>
      </c>
      <c r="I149" s="1" t="s">
        <v>44</v>
      </c>
      <c r="J149" s="1" t="s">
        <v>19</v>
      </c>
      <c r="K149" s="1" t="s">
        <v>20</v>
      </c>
      <c r="L149" s="1" t="s">
        <v>47</v>
      </c>
      <c r="M149" s="1">
        <v>3</v>
      </c>
      <c r="N149" s="1">
        <v>3219.26</v>
      </c>
      <c r="O149" s="1">
        <v>10</v>
      </c>
      <c r="P149" s="31" t="str">
        <f t="shared" si="11"/>
        <v>Heavy</v>
      </c>
      <c r="Q149" s="1">
        <v>8692</v>
      </c>
      <c r="R149" s="27" t="str">
        <f t="shared" si="12"/>
        <v>Not</v>
      </c>
      <c r="S149" s="29" t="str">
        <f t="shared" si="13"/>
        <v>Excellent</v>
      </c>
      <c r="T149" s="33" t="str">
        <f t="shared" si="14"/>
        <v>Priority order</v>
      </c>
      <c r="V149" s="15"/>
    </row>
    <row r="150" spans="1:22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25" t="str">
        <f t="shared" si="10"/>
        <v>Marketplace</v>
      </c>
      <c r="I150" s="1" t="s">
        <v>42</v>
      </c>
      <c r="J150" s="1" t="s">
        <v>57</v>
      </c>
      <c r="K150" s="1" t="s">
        <v>62</v>
      </c>
      <c r="L150" s="1" t="s">
        <v>33</v>
      </c>
      <c r="M150" s="1">
        <v>8</v>
      </c>
      <c r="N150" s="1">
        <v>2938.3</v>
      </c>
      <c r="O150" s="1">
        <v>15</v>
      </c>
      <c r="P150" s="31" t="str">
        <f t="shared" si="11"/>
        <v>Heavy</v>
      </c>
      <c r="Q150" s="1">
        <v>19980.439999999999</v>
      </c>
      <c r="R150" s="27" t="str">
        <f t="shared" si="12"/>
        <v>Not</v>
      </c>
      <c r="S150" s="29" t="str">
        <f t="shared" si="13"/>
        <v>Excellent</v>
      </c>
      <c r="T150" s="33" t="str">
        <f t="shared" si="14"/>
        <v>Priority order</v>
      </c>
      <c r="V150" s="15"/>
    </row>
    <row r="151" spans="1:22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25" t="str">
        <f t="shared" si="10"/>
        <v>Online</v>
      </c>
      <c r="I151" s="1" t="s">
        <v>18</v>
      </c>
      <c r="J151" s="1" t="s">
        <v>49</v>
      </c>
      <c r="K151" s="1" t="s">
        <v>51</v>
      </c>
      <c r="L151" s="1" t="s">
        <v>28</v>
      </c>
      <c r="M151" s="1">
        <v>2</v>
      </c>
      <c r="N151" s="1">
        <v>2808.06</v>
      </c>
      <c r="O151" s="1">
        <v>0</v>
      </c>
      <c r="P151" s="31" t="str">
        <f t="shared" si="11"/>
        <v>Normal</v>
      </c>
      <c r="Q151" s="1">
        <v>5616.12</v>
      </c>
      <c r="R151" s="27" t="str">
        <f t="shared" si="12"/>
        <v>Eligible</v>
      </c>
      <c r="S151" s="29" t="str">
        <f t="shared" si="13"/>
        <v>Good</v>
      </c>
      <c r="T151" s="33" t="str">
        <f t="shared" si="14"/>
        <v xml:space="preserve">Normal </v>
      </c>
      <c r="V151" s="15"/>
    </row>
    <row r="152" spans="1:22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25" t="str">
        <f t="shared" si="10"/>
        <v>Marketplace</v>
      </c>
      <c r="I152" s="1" t="s">
        <v>18</v>
      </c>
      <c r="J152" s="1" t="s">
        <v>49</v>
      </c>
      <c r="K152" s="1" t="s">
        <v>63</v>
      </c>
      <c r="L152" s="1" t="s">
        <v>47</v>
      </c>
      <c r="M152" s="1">
        <v>5</v>
      </c>
      <c r="N152" s="1">
        <v>1461.1</v>
      </c>
      <c r="O152" s="1">
        <v>15</v>
      </c>
      <c r="P152" s="31" t="str">
        <f t="shared" si="11"/>
        <v>Heavy</v>
      </c>
      <c r="Q152" s="1">
        <v>6209.68</v>
      </c>
      <c r="R152" s="27" t="str">
        <f t="shared" si="12"/>
        <v>Not</v>
      </c>
      <c r="S152" s="29" t="str">
        <f t="shared" si="13"/>
        <v>Good</v>
      </c>
      <c r="T152" s="33" t="str">
        <f t="shared" si="14"/>
        <v xml:space="preserve">Normal </v>
      </c>
      <c r="V152" s="15"/>
    </row>
    <row r="153" spans="1:22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25" t="str">
        <f t="shared" si="10"/>
        <v>Online</v>
      </c>
      <c r="I153" s="1" t="s">
        <v>44</v>
      </c>
      <c r="J153" s="1" t="s">
        <v>52</v>
      </c>
      <c r="K153" s="1" t="s">
        <v>56</v>
      </c>
      <c r="L153" s="1" t="s">
        <v>47</v>
      </c>
      <c r="M153" s="1">
        <v>1</v>
      </c>
      <c r="N153" s="1">
        <v>3249.11</v>
      </c>
      <c r="O153" s="1">
        <v>10</v>
      </c>
      <c r="P153" s="31" t="str">
        <f t="shared" si="11"/>
        <v>Heavy</v>
      </c>
      <c r="Q153" s="1">
        <v>2924.2</v>
      </c>
      <c r="R153" s="27" t="str">
        <f t="shared" si="12"/>
        <v>Not</v>
      </c>
      <c r="S153" s="29" t="str">
        <f t="shared" si="13"/>
        <v>Average</v>
      </c>
      <c r="T153" s="33" t="str">
        <f t="shared" si="14"/>
        <v xml:space="preserve">Normal </v>
      </c>
      <c r="V153" s="15"/>
    </row>
    <row r="154" spans="1:22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25" t="str">
        <f t="shared" si="10"/>
        <v>Marketplace</v>
      </c>
      <c r="I154" s="1" t="s">
        <v>25</v>
      </c>
      <c r="J154" s="1" t="s">
        <v>19</v>
      </c>
      <c r="K154" s="1" t="s">
        <v>66</v>
      </c>
      <c r="L154" s="1" t="s">
        <v>28</v>
      </c>
      <c r="M154" s="1">
        <v>6</v>
      </c>
      <c r="N154" s="1">
        <v>351.71</v>
      </c>
      <c r="O154" s="1">
        <v>10</v>
      </c>
      <c r="P154" s="31" t="str">
        <f t="shared" si="11"/>
        <v>Heavy</v>
      </c>
      <c r="Q154" s="1">
        <v>1899.23</v>
      </c>
      <c r="R154" s="27" t="str">
        <f t="shared" si="12"/>
        <v>Not</v>
      </c>
      <c r="S154" s="29" t="str">
        <f t="shared" si="13"/>
        <v>Average</v>
      </c>
      <c r="T154" s="33" t="str">
        <f t="shared" si="14"/>
        <v>Priority order</v>
      </c>
      <c r="V154" s="15"/>
    </row>
    <row r="155" spans="1:22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25" t="str">
        <f t="shared" si="10"/>
        <v>Online</v>
      </c>
      <c r="I155" s="1" t="s">
        <v>42</v>
      </c>
      <c r="J155" s="1" t="s">
        <v>19</v>
      </c>
      <c r="K155" s="1" t="s">
        <v>43</v>
      </c>
      <c r="L155" s="1" t="s">
        <v>45</v>
      </c>
      <c r="M155" s="1">
        <v>2</v>
      </c>
      <c r="N155" s="1">
        <v>764.56</v>
      </c>
      <c r="O155" s="1">
        <v>0</v>
      </c>
      <c r="P155" s="31" t="str">
        <f t="shared" si="11"/>
        <v>Normal</v>
      </c>
      <c r="Q155" s="1">
        <v>1529.12</v>
      </c>
      <c r="R155" s="27" t="str">
        <f t="shared" si="12"/>
        <v>Not</v>
      </c>
      <c r="S155" s="29" t="str">
        <f t="shared" si="13"/>
        <v>Average</v>
      </c>
      <c r="T155" s="33" t="str">
        <f t="shared" si="14"/>
        <v xml:space="preserve">Normal </v>
      </c>
      <c r="V155" s="15"/>
    </row>
    <row r="156" spans="1:22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25" t="str">
        <f t="shared" si="10"/>
        <v>Marketplace</v>
      </c>
      <c r="I156" s="1" t="s">
        <v>25</v>
      </c>
      <c r="J156" s="1" t="s">
        <v>52</v>
      </c>
      <c r="K156" s="1" t="s">
        <v>56</v>
      </c>
      <c r="L156" s="1" t="s">
        <v>21</v>
      </c>
      <c r="M156" s="1">
        <v>4</v>
      </c>
      <c r="N156" s="1">
        <v>1442.15</v>
      </c>
      <c r="O156" s="1">
        <v>15</v>
      </c>
      <c r="P156" s="31" t="str">
        <f t="shared" si="11"/>
        <v>Heavy</v>
      </c>
      <c r="Q156" s="1">
        <v>4903.3100000000004</v>
      </c>
      <c r="R156" s="27" t="str">
        <f t="shared" si="12"/>
        <v>Not</v>
      </c>
      <c r="S156" s="29" t="str">
        <f t="shared" si="13"/>
        <v>Good</v>
      </c>
      <c r="T156" s="33" t="str">
        <f t="shared" si="14"/>
        <v xml:space="preserve">Normal </v>
      </c>
      <c r="V156" s="15"/>
    </row>
    <row r="157" spans="1:22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25" t="str">
        <f t="shared" si="10"/>
        <v>Online</v>
      </c>
      <c r="I157" s="1" t="s">
        <v>18</v>
      </c>
      <c r="J157" s="1" t="s">
        <v>57</v>
      </c>
      <c r="K157" s="1" t="s">
        <v>59</v>
      </c>
      <c r="L157" s="1" t="s">
        <v>45</v>
      </c>
      <c r="M157" s="1">
        <v>6</v>
      </c>
      <c r="N157" s="1">
        <v>445.71</v>
      </c>
      <c r="O157" s="1">
        <v>15</v>
      </c>
      <c r="P157" s="31" t="str">
        <f t="shared" si="11"/>
        <v>Heavy</v>
      </c>
      <c r="Q157" s="1">
        <v>2273.12</v>
      </c>
      <c r="R157" s="27" t="str">
        <f t="shared" si="12"/>
        <v>Not</v>
      </c>
      <c r="S157" s="29" t="str">
        <f t="shared" si="13"/>
        <v>Average</v>
      </c>
      <c r="T157" s="33" t="str">
        <f t="shared" si="14"/>
        <v>Priority order</v>
      </c>
      <c r="V157" s="15"/>
    </row>
    <row r="158" spans="1:22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25" t="str">
        <f t="shared" si="10"/>
        <v>Marketplace</v>
      </c>
      <c r="I158" s="1" t="s">
        <v>25</v>
      </c>
      <c r="J158" s="1" t="s">
        <v>19</v>
      </c>
      <c r="K158" s="1" t="s">
        <v>20</v>
      </c>
      <c r="L158" s="1" t="s">
        <v>33</v>
      </c>
      <c r="M158" s="1">
        <v>8</v>
      </c>
      <c r="N158" s="1">
        <v>1054.73</v>
      </c>
      <c r="O158" s="1">
        <v>0</v>
      </c>
      <c r="P158" s="31" t="str">
        <f t="shared" si="11"/>
        <v>Normal</v>
      </c>
      <c r="Q158" s="1">
        <v>8437.84</v>
      </c>
      <c r="R158" s="27" t="str">
        <f t="shared" si="12"/>
        <v>Eligible</v>
      </c>
      <c r="S158" s="29" t="str">
        <f t="shared" si="13"/>
        <v>Excellent</v>
      </c>
      <c r="T158" s="33" t="str">
        <f t="shared" si="14"/>
        <v>Priority order</v>
      </c>
      <c r="V158" s="15"/>
    </row>
    <row r="159" spans="1:22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25" t="str">
        <f t="shared" si="10"/>
        <v>Online</v>
      </c>
      <c r="I159" s="1" t="s">
        <v>18</v>
      </c>
      <c r="J159" s="1" t="s">
        <v>49</v>
      </c>
      <c r="K159" s="1" t="s">
        <v>63</v>
      </c>
      <c r="L159" s="1" t="s">
        <v>28</v>
      </c>
      <c r="M159" s="1">
        <v>8</v>
      </c>
      <c r="N159" s="1">
        <v>3346.08</v>
      </c>
      <c r="O159" s="1">
        <v>15</v>
      </c>
      <c r="P159" s="31" t="str">
        <f t="shared" si="11"/>
        <v>Heavy</v>
      </c>
      <c r="Q159" s="1">
        <v>22753.34</v>
      </c>
      <c r="R159" s="27" t="str">
        <f t="shared" si="12"/>
        <v>Not</v>
      </c>
      <c r="S159" s="29" t="str">
        <f t="shared" si="13"/>
        <v>Excellent</v>
      </c>
      <c r="T159" s="33" t="str">
        <f t="shared" si="14"/>
        <v>Priority order</v>
      </c>
      <c r="V159" s="15"/>
    </row>
    <row r="160" spans="1:22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25" t="str">
        <f t="shared" si="10"/>
        <v>Online</v>
      </c>
      <c r="I160" s="1" t="s">
        <v>25</v>
      </c>
      <c r="J160" s="1" t="s">
        <v>49</v>
      </c>
      <c r="K160" s="1" t="s">
        <v>68</v>
      </c>
      <c r="L160" s="1" t="s">
        <v>45</v>
      </c>
      <c r="M160" s="1">
        <v>6</v>
      </c>
      <c r="N160" s="1">
        <v>3800.77</v>
      </c>
      <c r="O160" s="1">
        <v>0</v>
      </c>
      <c r="P160" s="31" t="str">
        <f t="shared" si="11"/>
        <v>Normal</v>
      </c>
      <c r="Q160" s="1">
        <v>22804.62</v>
      </c>
      <c r="R160" s="27" t="str">
        <f t="shared" si="12"/>
        <v>Eligible</v>
      </c>
      <c r="S160" s="29" t="str">
        <f t="shared" si="13"/>
        <v>Excellent</v>
      </c>
      <c r="T160" s="33" t="str">
        <f t="shared" si="14"/>
        <v>Priority order</v>
      </c>
      <c r="V160" s="15"/>
    </row>
    <row r="161" spans="1:22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25" t="str">
        <f t="shared" si="10"/>
        <v>Online</v>
      </c>
      <c r="I161" s="1" t="s">
        <v>44</v>
      </c>
      <c r="J161" s="1" t="s">
        <v>31</v>
      </c>
      <c r="K161" s="1" t="s">
        <v>48</v>
      </c>
      <c r="L161" s="1" t="s">
        <v>47</v>
      </c>
      <c r="M161" s="1">
        <v>4</v>
      </c>
      <c r="N161" s="1">
        <v>1322.72</v>
      </c>
      <c r="O161" s="1">
        <v>5</v>
      </c>
      <c r="P161" s="31" t="str">
        <f t="shared" si="11"/>
        <v>Heavy</v>
      </c>
      <c r="Q161" s="1">
        <v>5026.34</v>
      </c>
      <c r="R161" s="27" t="str">
        <f t="shared" si="12"/>
        <v>Eligible</v>
      </c>
      <c r="S161" s="29" t="str">
        <f t="shared" si="13"/>
        <v>Good</v>
      </c>
      <c r="T161" s="33" t="str">
        <f t="shared" si="14"/>
        <v xml:space="preserve">Normal </v>
      </c>
      <c r="V161" s="15"/>
    </row>
    <row r="162" spans="1:22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25" t="str">
        <f t="shared" si="10"/>
        <v>Online</v>
      </c>
      <c r="I162" s="1" t="s">
        <v>35</v>
      </c>
      <c r="J162" s="1" t="s">
        <v>19</v>
      </c>
      <c r="K162" s="1" t="s">
        <v>20</v>
      </c>
      <c r="L162" s="1" t="s">
        <v>33</v>
      </c>
      <c r="M162" s="1">
        <v>8</v>
      </c>
      <c r="N162" s="1">
        <v>1168.3900000000001</v>
      </c>
      <c r="O162" s="1">
        <v>10</v>
      </c>
      <c r="P162" s="31" t="str">
        <f t="shared" si="11"/>
        <v>Heavy</v>
      </c>
      <c r="Q162" s="1">
        <v>8412.41</v>
      </c>
      <c r="R162" s="27" t="str">
        <f t="shared" si="12"/>
        <v>Not</v>
      </c>
      <c r="S162" s="29" t="str">
        <f t="shared" si="13"/>
        <v>Excellent</v>
      </c>
      <c r="T162" s="33" t="str">
        <f t="shared" si="14"/>
        <v>Priority order</v>
      </c>
      <c r="V162" s="15"/>
    </row>
    <row r="163" spans="1:22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25" t="str">
        <f t="shared" si="10"/>
        <v>Online</v>
      </c>
      <c r="I163" s="1" t="s">
        <v>44</v>
      </c>
      <c r="J163" s="1" t="s">
        <v>57</v>
      </c>
      <c r="K163" s="1" t="s">
        <v>58</v>
      </c>
      <c r="L163" s="1" t="s">
        <v>33</v>
      </c>
      <c r="M163" s="1">
        <v>8</v>
      </c>
      <c r="N163" s="1">
        <v>1227.5899999999999</v>
      </c>
      <c r="O163" s="1">
        <v>5</v>
      </c>
      <c r="P163" s="31" t="str">
        <f t="shared" si="11"/>
        <v>Heavy</v>
      </c>
      <c r="Q163" s="1">
        <v>9329.68</v>
      </c>
      <c r="R163" s="27" t="str">
        <f t="shared" si="12"/>
        <v>Eligible</v>
      </c>
      <c r="S163" s="29" t="str">
        <f t="shared" si="13"/>
        <v>Excellent</v>
      </c>
      <c r="T163" s="33" t="str">
        <f t="shared" si="14"/>
        <v>Priority order</v>
      </c>
      <c r="V163" s="15"/>
    </row>
    <row r="164" spans="1:22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25" t="str">
        <f t="shared" si="10"/>
        <v>Marketplace</v>
      </c>
      <c r="I164" s="1" t="s">
        <v>44</v>
      </c>
      <c r="J164" s="1" t="s">
        <v>52</v>
      </c>
      <c r="K164" s="1" t="s">
        <v>53</v>
      </c>
      <c r="L164" s="1" t="s">
        <v>45</v>
      </c>
      <c r="M164" s="1">
        <v>1</v>
      </c>
      <c r="N164" s="1">
        <v>1219.22</v>
      </c>
      <c r="O164" s="1">
        <v>20</v>
      </c>
      <c r="P164" s="31" t="str">
        <f t="shared" si="11"/>
        <v>Heavy</v>
      </c>
      <c r="Q164" s="1">
        <v>975.38</v>
      </c>
      <c r="R164" s="27" t="str">
        <f t="shared" si="12"/>
        <v>Not</v>
      </c>
      <c r="S164" s="29" t="str">
        <f t="shared" si="13"/>
        <v>Average</v>
      </c>
      <c r="T164" s="33" t="str">
        <f t="shared" si="14"/>
        <v xml:space="preserve">Normal </v>
      </c>
      <c r="V164" s="15"/>
    </row>
    <row r="165" spans="1:22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25" t="str">
        <f t="shared" si="10"/>
        <v>Online</v>
      </c>
      <c r="I165" s="1" t="s">
        <v>35</v>
      </c>
      <c r="J165" s="1" t="s">
        <v>52</v>
      </c>
      <c r="K165" s="1" t="s">
        <v>64</v>
      </c>
      <c r="L165" s="1" t="s">
        <v>45</v>
      </c>
      <c r="M165" s="1">
        <v>4</v>
      </c>
      <c r="N165" s="1">
        <v>288.33</v>
      </c>
      <c r="O165" s="1">
        <v>20</v>
      </c>
      <c r="P165" s="31" t="str">
        <f t="shared" si="11"/>
        <v>Heavy</v>
      </c>
      <c r="Q165" s="1">
        <v>922.66</v>
      </c>
      <c r="R165" s="27" t="str">
        <f t="shared" si="12"/>
        <v>Not</v>
      </c>
      <c r="S165" s="29" t="str">
        <f t="shared" si="13"/>
        <v>Average</v>
      </c>
      <c r="T165" s="33" t="str">
        <f t="shared" si="14"/>
        <v xml:space="preserve">Normal </v>
      </c>
      <c r="V165" s="15"/>
    </row>
    <row r="166" spans="1:22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25" t="str">
        <f t="shared" si="10"/>
        <v>Online</v>
      </c>
      <c r="I166" s="1" t="s">
        <v>35</v>
      </c>
      <c r="J166" s="1" t="s">
        <v>57</v>
      </c>
      <c r="K166" s="1" t="s">
        <v>62</v>
      </c>
      <c r="L166" s="1" t="s">
        <v>28</v>
      </c>
      <c r="M166" s="1">
        <v>4</v>
      </c>
      <c r="N166" s="1">
        <v>3718.63</v>
      </c>
      <c r="O166" s="1">
        <v>20</v>
      </c>
      <c r="P166" s="31" t="str">
        <f t="shared" si="11"/>
        <v>Heavy</v>
      </c>
      <c r="Q166" s="1">
        <v>11899.62</v>
      </c>
      <c r="R166" s="27" t="str">
        <f t="shared" si="12"/>
        <v>Not</v>
      </c>
      <c r="S166" s="29" t="str">
        <f t="shared" si="13"/>
        <v>Excellent</v>
      </c>
      <c r="T166" s="33" t="str">
        <f t="shared" si="14"/>
        <v>Priority order</v>
      </c>
      <c r="V166" s="15"/>
    </row>
    <row r="167" spans="1:22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25" t="str">
        <f t="shared" si="10"/>
        <v>Marketplace</v>
      </c>
      <c r="I167" s="1" t="s">
        <v>42</v>
      </c>
      <c r="J167" s="1" t="s">
        <v>26</v>
      </c>
      <c r="K167" s="1" t="s">
        <v>27</v>
      </c>
      <c r="L167" s="1" t="s">
        <v>21</v>
      </c>
      <c r="M167" s="1">
        <v>7</v>
      </c>
      <c r="N167" s="1">
        <v>972.74</v>
      </c>
      <c r="O167" s="1">
        <v>0</v>
      </c>
      <c r="P167" s="31" t="str">
        <f t="shared" si="11"/>
        <v>Normal</v>
      </c>
      <c r="Q167" s="1">
        <v>6809.18</v>
      </c>
      <c r="R167" s="27" t="str">
        <f t="shared" si="12"/>
        <v>Eligible</v>
      </c>
      <c r="S167" s="29" t="str">
        <f t="shared" si="13"/>
        <v>Good</v>
      </c>
      <c r="T167" s="33" t="str">
        <f t="shared" si="14"/>
        <v>Priority order</v>
      </c>
      <c r="V167" s="15"/>
    </row>
    <row r="168" spans="1:22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25" t="str">
        <f t="shared" si="10"/>
        <v>Marketplace</v>
      </c>
      <c r="I168" s="1" t="s">
        <v>42</v>
      </c>
      <c r="J168" s="1" t="s">
        <v>31</v>
      </c>
      <c r="K168" s="1" t="s">
        <v>32</v>
      </c>
      <c r="L168" s="1" t="s">
        <v>45</v>
      </c>
      <c r="M168" s="1">
        <v>7</v>
      </c>
      <c r="N168" s="1">
        <v>1767.02</v>
      </c>
      <c r="O168" s="1">
        <v>15</v>
      </c>
      <c r="P168" s="31" t="str">
        <f t="shared" si="11"/>
        <v>Heavy</v>
      </c>
      <c r="Q168" s="1">
        <v>10513.77</v>
      </c>
      <c r="R168" s="27" t="str">
        <f t="shared" si="12"/>
        <v>Not</v>
      </c>
      <c r="S168" s="29" t="str">
        <f t="shared" si="13"/>
        <v>Excellent</v>
      </c>
      <c r="T168" s="33" t="str">
        <f t="shared" si="14"/>
        <v>Priority order</v>
      </c>
      <c r="V168" s="15"/>
    </row>
    <row r="169" spans="1:22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25" t="str">
        <f t="shared" si="10"/>
        <v>Marketplace</v>
      </c>
      <c r="I169" s="1" t="s">
        <v>44</v>
      </c>
      <c r="J169" s="1" t="s">
        <v>52</v>
      </c>
      <c r="K169" s="1" t="s">
        <v>56</v>
      </c>
      <c r="L169" s="1" t="s">
        <v>45</v>
      </c>
      <c r="M169" s="1">
        <v>8</v>
      </c>
      <c r="N169" s="1">
        <v>187.29</v>
      </c>
      <c r="O169" s="1">
        <v>5</v>
      </c>
      <c r="P169" s="31" t="str">
        <f t="shared" si="11"/>
        <v>Heavy</v>
      </c>
      <c r="Q169" s="1">
        <v>1423.4</v>
      </c>
      <c r="R169" s="27" t="str">
        <f t="shared" si="12"/>
        <v>Not</v>
      </c>
      <c r="S169" s="29" t="str">
        <f t="shared" si="13"/>
        <v>Average</v>
      </c>
      <c r="T169" s="33" t="str">
        <f t="shared" si="14"/>
        <v>Priority order</v>
      </c>
      <c r="V169" s="15"/>
    </row>
    <row r="170" spans="1:22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25" t="str">
        <f t="shared" si="10"/>
        <v>Marketplace</v>
      </c>
      <c r="I170" s="1" t="s">
        <v>44</v>
      </c>
      <c r="J170" s="1" t="s">
        <v>19</v>
      </c>
      <c r="K170" s="1" t="s">
        <v>55</v>
      </c>
      <c r="L170" s="1" t="s">
        <v>47</v>
      </c>
      <c r="M170" s="1">
        <v>5</v>
      </c>
      <c r="N170" s="1">
        <v>3453.13</v>
      </c>
      <c r="O170" s="1">
        <v>5</v>
      </c>
      <c r="P170" s="31" t="str">
        <f t="shared" si="11"/>
        <v>Heavy</v>
      </c>
      <c r="Q170" s="1">
        <v>16402.37</v>
      </c>
      <c r="R170" s="27" t="str">
        <f t="shared" si="12"/>
        <v>Eligible</v>
      </c>
      <c r="S170" s="29" t="str">
        <f t="shared" si="13"/>
        <v>Excellent</v>
      </c>
      <c r="T170" s="33" t="str">
        <f t="shared" si="14"/>
        <v>Priority order</v>
      </c>
      <c r="V170" s="15"/>
    </row>
    <row r="171" spans="1:22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25" t="str">
        <f t="shared" si="10"/>
        <v>Online</v>
      </c>
      <c r="I171" s="1" t="s">
        <v>18</v>
      </c>
      <c r="J171" s="1" t="s">
        <v>31</v>
      </c>
      <c r="K171" s="1" t="s">
        <v>65</v>
      </c>
      <c r="L171" s="1" t="s">
        <v>33</v>
      </c>
      <c r="M171" s="1">
        <v>7</v>
      </c>
      <c r="N171" s="1">
        <v>2964.96</v>
      </c>
      <c r="O171" s="1">
        <v>5</v>
      </c>
      <c r="P171" s="31" t="str">
        <f t="shared" si="11"/>
        <v>Heavy</v>
      </c>
      <c r="Q171" s="1">
        <v>19716.98</v>
      </c>
      <c r="R171" s="27" t="str">
        <f t="shared" si="12"/>
        <v>Eligible</v>
      </c>
      <c r="S171" s="29" t="str">
        <f t="shared" si="13"/>
        <v>Excellent</v>
      </c>
      <c r="T171" s="33" t="str">
        <f t="shared" si="14"/>
        <v>Priority order</v>
      </c>
      <c r="V171" s="15"/>
    </row>
    <row r="172" spans="1:22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25" t="str">
        <f t="shared" si="10"/>
        <v>Online</v>
      </c>
      <c r="I172" s="1" t="s">
        <v>18</v>
      </c>
      <c r="J172" s="1" t="s">
        <v>19</v>
      </c>
      <c r="K172" s="1" t="s">
        <v>43</v>
      </c>
      <c r="L172" s="1" t="s">
        <v>21</v>
      </c>
      <c r="M172" s="1">
        <v>8</v>
      </c>
      <c r="N172" s="1">
        <v>3795.01</v>
      </c>
      <c r="O172" s="1">
        <v>5</v>
      </c>
      <c r="P172" s="31" t="str">
        <f t="shared" si="11"/>
        <v>Heavy</v>
      </c>
      <c r="Q172" s="1">
        <v>28842.080000000002</v>
      </c>
      <c r="R172" s="27" t="str">
        <f t="shared" si="12"/>
        <v>Eligible</v>
      </c>
      <c r="S172" s="29" t="str">
        <f t="shared" si="13"/>
        <v>Excellent</v>
      </c>
      <c r="T172" s="33" t="str">
        <f t="shared" si="14"/>
        <v>Priority order</v>
      </c>
      <c r="V172" s="15"/>
    </row>
    <row r="173" spans="1:22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25" t="str">
        <f t="shared" si="10"/>
        <v>Online</v>
      </c>
      <c r="I173" s="1" t="s">
        <v>42</v>
      </c>
      <c r="J173" s="1" t="s">
        <v>49</v>
      </c>
      <c r="K173" s="1" t="s">
        <v>63</v>
      </c>
      <c r="L173" s="1" t="s">
        <v>47</v>
      </c>
      <c r="M173" s="1">
        <v>9</v>
      </c>
      <c r="N173" s="1">
        <v>3159.22</v>
      </c>
      <c r="O173" s="1">
        <v>20</v>
      </c>
      <c r="P173" s="31" t="str">
        <f t="shared" si="11"/>
        <v>Heavy</v>
      </c>
      <c r="Q173" s="1">
        <v>22746.38</v>
      </c>
      <c r="R173" s="27" t="str">
        <f t="shared" si="12"/>
        <v>Not</v>
      </c>
      <c r="S173" s="29" t="str">
        <f t="shared" si="13"/>
        <v>Excellent</v>
      </c>
      <c r="T173" s="33" t="str">
        <f t="shared" si="14"/>
        <v>Priority order</v>
      </c>
      <c r="V173" s="15"/>
    </row>
    <row r="174" spans="1:22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25" t="str">
        <f t="shared" si="10"/>
        <v>Online</v>
      </c>
      <c r="I174" s="1" t="s">
        <v>42</v>
      </c>
      <c r="J174" s="1" t="s">
        <v>31</v>
      </c>
      <c r="K174" s="1" t="s">
        <v>65</v>
      </c>
      <c r="L174" s="1" t="s">
        <v>28</v>
      </c>
      <c r="M174" s="1">
        <v>3</v>
      </c>
      <c r="N174" s="1">
        <v>1357.77</v>
      </c>
      <c r="O174" s="1">
        <v>5</v>
      </c>
      <c r="P174" s="31" t="str">
        <f t="shared" si="11"/>
        <v>Heavy</v>
      </c>
      <c r="Q174" s="1">
        <v>3869.64</v>
      </c>
      <c r="R174" s="27" t="str">
        <f t="shared" si="12"/>
        <v>Not</v>
      </c>
      <c r="S174" s="29" t="str">
        <f t="shared" si="13"/>
        <v>Average</v>
      </c>
      <c r="T174" s="33" t="str">
        <f t="shared" si="14"/>
        <v xml:space="preserve">Normal </v>
      </c>
      <c r="V174" s="15"/>
    </row>
    <row r="175" spans="1:22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25" t="str">
        <f t="shared" si="10"/>
        <v>Marketplace</v>
      </c>
      <c r="I175" s="1" t="s">
        <v>18</v>
      </c>
      <c r="J175" s="1" t="s">
        <v>52</v>
      </c>
      <c r="K175" s="1" t="s">
        <v>53</v>
      </c>
      <c r="L175" s="1" t="s">
        <v>28</v>
      </c>
      <c r="M175" s="1">
        <v>3</v>
      </c>
      <c r="N175" s="1">
        <v>1104.31</v>
      </c>
      <c r="O175" s="1">
        <v>15</v>
      </c>
      <c r="P175" s="31" t="str">
        <f t="shared" si="11"/>
        <v>Heavy</v>
      </c>
      <c r="Q175" s="1">
        <v>2815.99</v>
      </c>
      <c r="R175" s="27" t="str">
        <f t="shared" si="12"/>
        <v>Not</v>
      </c>
      <c r="S175" s="29" t="str">
        <f t="shared" si="13"/>
        <v>Average</v>
      </c>
      <c r="T175" s="33" t="str">
        <f t="shared" si="14"/>
        <v xml:space="preserve">Normal </v>
      </c>
      <c r="V175" s="15"/>
    </row>
    <row r="176" spans="1:22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25" t="str">
        <f t="shared" si="10"/>
        <v>Online</v>
      </c>
      <c r="I176" s="1" t="s">
        <v>18</v>
      </c>
      <c r="J176" s="1" t="s">
        <v>31</v>
      </c>
      <c r="K176" s="1" t="s">
        <v>32</v>
      </c>
      <c r="L176" s="1" t="s">
        <v>45</v>
      </c>
      <c r="M176" s="1">
        <v>4</v>
      </c>
      <c r="N176" s="1">
        <v>2836.21</v>
      </c>
      <c r="O176" s="1">
        <v>20</v>
      </c>
      <c r="P176" s="31" t="str">
        <f t="shared" si="11"/>
        <v>Heavy</v>
      </c>
      <c r="Q176" s="1">
        <v>9075.8700000000008</v>
      </c>
      <c r="R176" s="27" t="str">
        <f t="shared" si="12"/>
        <v>Not</v>
      </c>
      <c r="S176" s="29" t="str">
        <f t="shared" si="13"/>
        <v>Excellent</v>
      </c>
      <c r="T176" s="33" t="str">
        <f t="shared" si="14"/>
        <v>Priority order</v>
      </c>
      <c r="V176" s="15"/>
    </row>
    <row r="177" spans="1:22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25" t="str">
        <f t="shared" si="10"/>
        <v>Marketplace</v>
      </c>
      <c r="I177" s="1" t="s">
        <v>25</v>
      </c>
      <c r="J177" s="1" t="s">
        <v>31</v>
      </c>
      <c r="K177" s="1" t="s">
        <v>39</v>
      </c>
      <c r="L177" s="1" t="s">
        <v>45</v>
      </c>
      <c r="M177" s="1">
        <v>5</v>
      </c>
      <c r="N177" s="1">
        <v>1551.83</v>
      </c>
      <c r="O177" s="1">
        <v>5</v>
      </c>
      <c r="P177" s="31" t="str">
        <f t="shared" si="11"/>
        <v>Heavy</v>
      </c>
      <c r="Q177" s="1">
        <v>7371.19</v>
      </c>
      <c r="R177" s="27" t="str">
        <f t="shared" si="12"/>
        <v>Eligible</v>
      </c>
      <c r="S177" s="29" t="str">
        <f t="shared" si="13"/>
        <v>Excellent</v>
      </c>
      <c r="T177" s="33" t="str">
        <f t="shared" si="14"/>
        <v>Priority order</v>
      </c>
      <c r="V177" s="15"/>
    </row>
    <row r="178" spans="1:22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25" t="str">
        <f t="shared" si="10"/>
        <v>Online</v>
      </c>
      <c r="I178" s="1" t="s">
        <v>25</v>
      </c>
      <c r="J178" s="1" t="s">
        <v>31</v>
      </c>
      <c r="K178" s="1" t="s">
        <v>32</v>
      </c>
      <c r="L178" s="1" t="s">
        <v>28</v>
      </c>
      <c r="M178" s="1">
        <v>1</v>
      </c>
      <c r="N178" s="1">
        <v>2329.9299999999998</v>
      </c>
      <c r="O178" s="1">
        <v>0</v>
      </c>
      <c r="P178" s="31" t="str">
        <f t="shared" si="11"/>
        <v>Normal</v>
      </c>
      <c r="Q178" s="1">
        <v>2329.9299999999998</v>
      </c>
      <c r="R178" s="27" t="str">
        <f t="shared" si="12"/>
        <v>Not</v>
      </c>
      <c r="S178" s="29" t="str">
        <f t="shared" si="13"/>
        <v>Average</v>
      </c>
      <c r="T178" s="33" t="str">
        <f t="shared" si="14"/>
        <v xml:space="preserve">Normal </v>
      </c>
      <c r="V178" s="15"/>
    </row>
    <row r="179" spans="1:22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25" t="str">
        <f t="shared" si="10"/>
        <v>Online</v>
      </c>
      <c r="I179" s="1" t="s">
        <v>18</v>
      </c>
      <c r="J179" s="1" t="s">
        <v>26</v>
      </c>
      <c r="K179" s="1" t="s">
        <v>61</v>
      </c>
      <c r="L179" s="1" t="s">
        <v>45</v>
      </c>
      <c r="M179" s="1">
        <v>7</v>
      </c>
      <c r="N179" s="1">
        <v>174.09</v>
      </c>
      <c r="O179" s="1">
        <v>10</v>
      </c>
      <c r="P179" s="31" t="str">
        <f t="shared" si="11"/>
        <v>Heavy</v>
      </c>
      <c r="Q179" s="1">
        <v>1096.77</v>
      </c>
      <c r="R179" s="27" t="str">
        <f t="shared" si="12"/>
        <v>Not</v>
      </c>
      <c r="S179" s="29" t="str">
        <f t="shared" si="13"/>
        <v>Average</v>
      </c>
      <c r="T179" s="33" t="str">
        <f t="shared" si="14"/>
        <v>Priority order</v>
      </c>
      <c r="V179" s="15"/>
    </row>
    <row r="180" spans="1:22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25" t="str">
        <f t="shared" si="10"/>
        <v>Marketplace</v>
      </c>
      <c r="I180" s="1" t="s">
        <v>25</v>
      </c>
      <c r="J180" s="1" t="s">
        <v>31</v>
      </c>
      <c r="K180" s="1" t="s">
        <v>32</v>
      </c>
      <c r="L180" s="1" t="s">
        <v>21</v>
      </c>
      <c r="M180" s="1">
        <v>9</v>
      </c>
      <c r="N180" s="1">
        <v>388.26</v>
      </c>
      <c r="O180" s="1">
        <v>10</v>
      </c>
      <c r="P180" s="31" t="str">
        <f t="shared" si="11"/>
        <v>Heavy</v>
      </c>
      <c r="Q180" s="1">
        <v>3144.91</v>
      </c>
      <c r="R180" s="27" t="str">
        <f t="shared" si="12"/>
        <v>Not</v>
      </c>
      <c r="S180" s="29" t="str">
        <f t="shared" si="13"/>
        <v>Average</v>
      </c>
      <c r="T180" s="33" t="str">
        <f t="shared" si="14"/>
        <v>Priority order</v>
      </c>
      <c r="V180" s="15"/>
    </row>
    <row r="181" spans="1:22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25" t="str">
        <f t="shared" si="10"/>
        <v>Online</v>
      </c>
      <c r="I181" s="1" t="s">
        <v>35</v>
      </c>
      <c r="J181" s="1" t="s">
        <v>19</v>
      </c>
      <c r="K181" s="1" t="s">
        <v>43</v>
      </c>
      <c r="L181" s="1" t="s">
        <v>45</v>
      </c>
      <c r="M181" s="1">
        <v>8</v>
      </c>
      <c r="N181" s="1">
        <v>2211.17</v>
      </c>
      <c r="O181" s="1">
        <v>10</v>
      </c>
      <c r="P181" s="31" t="str">
        <f t="shared" si="11"/>
        <v>Heavy</v>
      </c>
      <c r="Q181" s="1">
        <v>15920.42</v>
      </c>
      <c r="R181" s="27" t="str">
        <f t="shared" si="12"/>
        <v>Not</v>
      </c>
      <c r="S181" s="29" t="str">
        <f t="shared" si="13"/>
        <v>Excellent</v>
      </c>
      <c r="T181" s="33" t="str">
        <f t="shared" si="14"/>
        <v>Priority order</v>
      </c>
      <c r="V181" s="15"/>
    </row>
    <row r="182" spans="1:22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25" t="str">
        <f t="shared" si="10"/>
        <v>Online</v>
      </c>
      <c r="I182" s="1" t="s">
        <v>42</v>
      </c>
      <c r="J182" s="1" t="s">
        <v>49</v>
      </c>
      <c r="K182" s="1" t="s">
        <v>50</v>
      </c>
      <c r="L182" s="1" t="s">
        <v>33</v>
      </c>
      <c r="M182" s="1">
        <v>5</v>
      </c>
      <c r="N182" s="1">
        <v>2329.38</v>
      </c>
      <c r="O182" s="1">
        <v>20</v>
      </c>
      <c r="P182" s="31" t="str">
        <f t="shared" si="11"/>
        <v>Heavy</v>
      </c>
      <c r="Q182" s="1">
        <v>9317.52</v>
      </c>
      <c r="R182" s="27" t="str">
        <f t="shared" si="12"/>
        <v>Not</v>
      </c>
      <c r="S182" s="29" t="str">
        <f t="shared" si="13"/>
        <v>Excellent</v>
      </c>
      <c r="T182" s="33" t="str">
        <f t="shared" si="14"/>
        <v>Priority order</v>
      </c>
      <c r="V182" s="15"/>
    </row>
    <row r="183" spans="1:22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25" t="str">
        <f t="shared" si="10"/>
        <v>Online</v>
      </c>
      <c r="I183" s="1" t="s">
        <v>42</v>
      </c>
      <c r="J183" s="1" t="s">
        <v>57</v>
      </c>
      <c r="K183" s="1" t="s">
        <v>59</v>
      </c>
      <c r="L183" s="1" t="s">
        <v>45</v>
      </c>
      <c r="M183" s="1">
        <v>4</v>
      </c>
      <c r="N183" s="1">
        <v>3043.09</v>
      </c>
      <c r="O183" s="1">
        <v>5</v>
      </c>
      <c r="P183" s="31" t="str">
        <f t="shared" si="11"/>
        <v>Heavy</v>
      </c>
      <c r="Q183" s="1">
        <v>11563.74</v>
      </c>
      <c r="R183" s="27" t="str">
        <f t="shared" si="12"/>
        <v>Eligible</v>
      </c>
      <c r="S183" s="29" t="str">
        <f t="shared" si="13"/>
        <v>Excellent</v>
      </c>
      <c r="T183" s="33" t="str">
        <f t="shared" si="14"/>
        <v>Priority order</v>
      </c>
      <c r="V183" s="15"/>
    </row>
    <row r="184" spans="1:22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25" t="str">
        <f t="shared" si="10"/>
        <v>Marketplace</v>
      </c>
      <c r="I184" s="1" t="s">
        <v>18</v>
      </c>
      <c r="J184" s="1" t="s">
        <v>31</v>
      </c>
      <c r="K184" s="1" t="s">
        <v>39</v>
      </c>
      <c r="L184" s="1" t="s">
        <v>47</v>
      </c>
      <c r="M184" s="1">
        <v>7</v>
      </c>
      <c r="N184" s="1">
        <v>658.07</v>
      </c>
      <c r="O184" s="1">
        <v>20</v>
      </c>
      <c r="P184" s="31" t="str">
        <f t="shared" si="11"/>
        <v>Heavy</v>
      </c>
      <c r="Q184" s="1">
        <v>3685.19</v>
      </c>
      <c r="R184" s="27" t="str">
        <f t="shared" si="12"/>
        <v>Not</v>
      </c>
      <c r="S184" s="29" t="str">
        <f t="shared" si="13"/>
        <v>Average</v>
      </c>
      <c r="T184" s="33" t="str">
        <f t="shared" si="14"/>
        <v>Priority order</v>
      </c>
      <c r="V184" s="15"/>
    </row>
    <row r="185" spans="1:22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25" t="str">
        <f t="shared" si="10"/>
        <v>Online</v>
      </c>
      <c r="I185" s="1" t="s">
        <v>44</v>
      </c>
      <c r="J185" s="1" t="s">
        <v>52</v>
      </c>
      <c r="K185" s="1" t="s">
        <v>64</v>
      </c>
      <c r="L185" s="1" t="s">
        <v>21</v>
      </c>
      <c r="M185" s="1">
        <v>5</v>
      </c>
      <c r="N185" s="1">
        <v>2125.75</v>
      </c>
      <c r="O185" s="1">
        <v>15</v>
      </c>
      <c r="P185" s="31" t="str">
        <f t="shared" si="11"/>
        <v>Heavy</v>
      </c>
      <c r="Q185" s="1">
        <v>9034.44</v>
      </c>
      <c r="R185" s="27" t="str">
        <f t="shared" si="12"/>
        <v>Not</v>
      </c>
      <c r="S185" s="29" t="str">
        <f t="shared" si="13"/>
        <v>Excellent</v>
      </c>
      <c r="T185" s="33" t="str">
        <f t="shared" si="14"/>
        <v>Priority order</v>
      </c>
      <c r="V185" s="15"/>
    </row>
    <row r="186" spans="1:22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25" t="str">
        <f t="shared" si="10"/>
        <v>Online</v>
      </c>
      <c r="I186" s="1" t="s">
        <v>18</v>
      </c>
      <c r="J186" s="1" t="s">
        <v>31</v>
      </c>
      <c r="K186" s="1" t="s">
        <v>39</v>
      </c>
      <c r="L186" s="1" t="s">
        <v>47</v>
      </c>
      <c r="M186" s="1">
        <v>7</v>
      </c>
      <c r="N186" s="1">
        <v>898.62</v>
      </c>
      <c r="O186" s="1">
        <v>0</v>
      </c>
      <c r="P186" s="31" t="str">
        <f t="shared" si="11"/>
        <v>Normal</v>
      </c>
      <c r="Q186" s="1">
        <v>6290.34</v>
      </c>
      <c r="R186" s="27" t="str">
        <f t="shared" si="12"/>
        <v>Eligible</v>
      </c>
      <c r="S186" s="29" t="str">
        <f t="shared" si="13"/>
        <v>Good</v>
      </c>
      <c r="T186" s="33" t="str">
        <f t="shared" si="14"/>
        <v>Priority order</v>
      </c>
      <c r="V186" s="15"/>
    </row>
    <row r="187" spans="1:22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25" t="str">
        <f t="shared" si="10"/>
        <v>Marketplace</v>
      </c>
      <c r="I187" s="1" t="s">
        <v>25</v>
      </c>
      <c r="J187" s="1" t="s">
        <v>52</v>
      </c>
      <c r="K187" s="1" t="s">
        <v>56</v>
      </c>
      <c r="L187" s="1" t="s">
        <v>47</v>
      </c>
      <c r="M187" s="1">
        <v>1</v>
      </c>
      <c r="N187" s="1">
        <v>508.81</v>
      </c>
      <c r="O187" s="1">
        <v>0</v>
      </c>
      <c r="P187" s="31" t="str">
        <f t="shared" si="11"/>
        <v>Normal</v>
      </c>
      <c r="Q187" s="1">
        <v>508.81</v>
      </c>
      <c r="R187" s="27" t="str">
        <f t="shared" si="12"/>
        <v>Not</v>
      </c>
      <c r="S187" s="29" t="str">
        <f t="shared" si="13"/>
        <v>Average</v>
      </c>
      <c r="T187" s="33" t="str">
        <f t="shared" si="14"/>
        <v xml:space="preserve">Normal </v>
      </c>
      <c r="V187" s="15"/>
    </row>
    <row r="188" spans="1:22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25" t="str">
        <f t="shared" si="10"/>
        <v>Online</v>
      </c>
      <c r="I188" s="1" t="s">
        <v>44</v>
      </c>
      <c r="J188" s="1" t="s">
        <v>19</v>
      </c>
      <c r="K188" s="1" t="s">
        <v>43</v>
      </c>
      <c r="L188" s="1" t="s">
        <v>33</v>
      </c>
      <c r="M188" s="1">
        <v>1</v>
      </c>
      <c r="N188" s="1">
        <v>1730.41</v>
      </c>
      <c r="O188" s="1">
        <v>10</v>
      </c>
      <c r="P188" s="31" t="str">
        <f t="shared" si="11"/>
        <v>Heavy</v>
      </c>
      <c r="Q188" s="1">
        <v>1557.37</v>
      </c>
      <c r="R188" s="27" t="str">
        <f t="shared" si="12"/>
        <v>Not</v>
      </c>
      <c r="S188" s="29" t="str">
        <f t="shared" si="13"/>
        <v>Average</v>
      </c>
      <c r="T188" s="33" t="str">
        <f t="shared" si="14"/>
        <v xml:space="preserve">Normal </v>
      </c>
      <c r="V188" s="15"/>
    </row>
    <row r="189" spans="1:22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25" t="str">
        <f t="shared" si="10"/>
        <v>Online</v>
      </c>
      <c r="I189" s="1" t="s">
        <v>25</v>
      </c>
      <c r="J189" s="1" t="s">
        <v>52</v>
      </c>
      <c r="K189" s="1" t="s">
        <v>53</v>
      </c>
      <c r="L189" s="1" t="s">
        <v>21</v>
      </c>
      <c r="M189" s="1">
        <v>3</v>
      </c>
      <c r="N189" s="1">
        <v>778.85</v>
      </c>
      <c r="O189" s="1">
        <v>10</v>
      </c>
      <c r="P189" s="31" t="str">
        <f t="shared" si="11"/>
        <v>Heavy</v>
      </c>
      <c r="Q189" s="1">
        <v>2102.89</v>
      </c>
      <c r="R189" s="27" t="str">
        <f t="shared" si="12"/>
        <v>Not</v>
      </c>
      <c r="S189" s="29" t="str">
        <f t="shared" si="13"/>
        <v>Average</v>
      </c>
      <c r="T189" s="33" t="str">
        <f t="shared" si="14"/>
        <v xml:space="preserve">Normal </v>
      </c>
      <c r="V189" s="15"/>
    </row>
    <row r="190" spans="1:22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25" t="str">
        <f t="shared" si="10"/>
        <v>Online</v>
      </c>
      <c r="I190" s="1" t="s">
        <v>35</v>
      </c>
      <c r="J190" s="1" t="s">
        <v>57</v>
      </c>
      <c r="K190" s="1" t="s">
        <v>62</v>
      </c>
      <c r="L190" s="1" t="s">
        <v>21</v>
      </c>
      <c r="M190" s="1">
        <v>2</v>
      </c>
      <c r="N190" s="1">
        <v>1003.86</v>
      </c>
      <c r="O190" s="1">
        <v>10</v>
      </c>
      <c r="P190" s="31" t="str">
        <f t="shared" si="11"/>
        <v>Heavy</v>
      </c>
      <c r="Q190" s="1">
        <v>1806.95</v>
      </c>
      <c r="R190" s="27" t="str">
        <f t="shared" si="12"/>
        <v>Not</v>
      </c>
      <c r="S190" s="29" t="str">
        <f t="shared" si="13"/>
        <v>Average</v>
      </c>
      <c r="T190" s="33" t="str">
        <f t="shared" si="14"/>
        <v xml:space="preserve">Normal </v>
      </c>
      <c r="V190" s="15"/>
    </row>
    <row r="191" spans="1:22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25" t="str">
        <f t="shared" si="10"/>
        <v>Marketplace</v>
      </c>
      <c r="I191" s="1" t="s">
        <v>25</v>
      </c>
      <c r="J191" s="1" t="s">
        <v>49</v>
      </c>
      <c r="K191" s="1" t="s">
        <v>51</v>
      </c>
      <c r="L191" s="1" t="s">
        <v>21</v>
      </c>
      <c r="M191" s="1">
        <v>2</v>
      </c>
      <c r="N191" s="1">
        <v>1372.59</v>
      </c>
      <c r="O191" s="1">
        <v>5</v>
      </c>
      <c r="P191" s="31" t="str">
        <f t="shared" si="11"/>
        <v>Heavy</v>
      </c>
      <c r="Q191" s="1">
        <v>2607.92</v>
      </c>
      <c r="R191" s="27" t="str">
        <f t="shared" si="12"/>
        <v>Not</v>
      </c>
      <c r="S191" s="29" t="str">
        <f t="shared" si="13"/>
        <v>Average</v>
      </c>
      <c r="T191" s="33" t="str">
        <f t="shared" si="14"/>
        <v xml:space="preserve">Normal </v>
      </c>
      <c r="V191" s="15"/>
    </row>
    <row r="192" spans="1:22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25" t="str">
        <f t="shared" si="10"/>
        <v>Marketplace</v>
      </c>
      <c r="I192" s="1" t="s">
        <v>35</v>
      </c>
      <c r="J192" s="1" t="s">
        <v>52</v>
      </c>
      <c r="K192" s="1" t="s">
        <v>56</v>
      </c>
      <c r="L192" s="1" t="s">
        <v>21</v>
      </c>
      <c r="M192" s="1">
        <v>7</v>
      </c>
      <c r="N192" s="1">
        <v>1148.6500000000001</v>
      </c>
      <c r="O192" s="1">
        <v>15</v>
      </c>
      <c r="P192" s="31" t="str">
        <f t="shared" si="11"/>
        <v>Heavy</v>
      </c>
      <c r="Q192" s="1">
        <v>6834.47</v>
      </c>
      <c r="R192" s="27" t="str">
        <f t="shared" si="12"/>
        <v>Not</v>
      </c>
      <c r="S192" s="29" t="str">
        <f t="shared" si="13"/>
        <v>Good</v>
      </c>
      <c r="T192" s="33" t="str">
        <f t="shared" si="14"/>
        <v>Priority order</v>
      </c>
      <c r="V192" s="15"/>
    </row>
    <row r="193" spans="1:22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25" t="str">
        <f t="shared" si="10"/>
        <v>Marketplace</v>
      </c>
      <c r="I193" s="1" t="s">
        <v>35</v>
      </c>
      <c r="J193" s="1" t="s">
        <v>52</v>
      </c>
      <c r="K193" s="1" t="s">
        <v>60</v>
      </c>
      <c r="L193" s="1" t="s">
        <v>21</v>
      </c>
      <c r="M193" s="1">
        <v>2</v>
      </c>
      <c r="N193" s="1">
        <v>487.23</v>
      </c>
      <c r="O193" s="1">
        <v>15</v>
      </c>
      <c r="P193" s="31" t="str">
        <f t="shared" si="11"/>
        <v>Heavy</v>
      </c>
      <c r="Q193" s="1">
        <v>828.29</v>
      </c>
      <c r="R193" s="27" t="str">
        <f t="shared" si="12"/>
        <v>Not</v>
      </c>
      <c r="S193" s="29" t="str">
        <f t="shared" si="13"/>
        <v>Average</v>
      </c>
      <c r="T193" s="33" t="str">
        <f t="shared" si="14"/>
        <v xml:space="preserve">Normal </v>
      </c>
      <c r="V193" s="15"/>
    </row>
    <row r="194" spans="1:22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25" t="str">
        <f t="shared" si="10"/>
        <v>Marketplace</v>
      </c>
      <c r="I194" s="1" t="s">
        <v>25</v>
      </c>
      <c r="J194" s="1" t="s">
        <v>49</v>
      </c>
      <c r="K194" s="1" t="s">
        <v>51</v>
      </c>
      <c r="L194" s="1" t="s">
        <v>33</v>
      </c>
      <c r="M194" s="1">
        <v>4</v>
      </c>
      <c r="N194" s="1">
        <v>496.18</v>
      </c>
      <c r="O194" s="1">
        <v>15</v>
      </c>
      <c r="P194" s="31" t="str">
        <f t="shared" si="11"/>
        <v>Heavy</v>
      </c>
      <c r="Q194" s="1">
        <v>1687.01</v>
      </c>
      <c r="R194" s="27" t="str">
        <f t="shared" si="12"/>
        <v>Not</v>
      </c>
      <c r="S194" s="29" t="str">
        <f t="shared" si="13"/>
        <v>Average</v>
      </c>
      <c r="T194" s="33" t="str">
        <f t="shared" si="14"/>
        <v xml:space="preserve">Normal </v>
      </c>
      <c r="V194" s="15"/>
    </row>
    <row r="195" spans="1:22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25" t="str">
        <f t="shared" ref="H195:H258" si="15">IF(G195:G694&lt;&gt; "Marketplace","Online","Marketplace")</f>
        <v>Online</v>
      </c>
      <c r="I195" s="1" t="s">
        <v>25</v>
      </c>
      <c r="J195" s="1" t="s">
        <v>57</v>
      </c>
      <c r="K195" s="1" t="s">
        <v>59</v>
      </c>
      <c r="L195" s="1" t="s">
        <v>45</v>
      </c>
      <c r="M195" s="1">
        <v>2</v>
      </c>
      <c r="N195" s="1">
        <v>894.01</v>
      </c>
      <c r="O195" s="1">
        <v>15</v>
      </c>
      <c r="P195" s="31" t="str">
        <f t="shared" ref="P195:P258" si="16">IF(O195&gt;10%,"Heavy","Normal")</f>
        <v>Heavy</v>
      </c>
      <c r="Q195" s="1">
        <v>1519.82</v>
      </c>
      <c r="R195" s="27" t="str">
        <f t="shared" ref="R195:R258" si="17">IF(AND($Q$2:$Q$501 &gt; 5000, $O$2:$O$501&lt;10),"Eligible","Not")</f>
        <v>Not</v>
      </c>
      <c r="S195" s="29" t="str">
        <f t="shared" ref="S195:S258" si="18">IF(Q195&gt;=7000,"Excellent",(IF(Q195&gt;=4000,"Good","Average")))</f>
        <v>Average</v>
      </c>
      <c r="T195" s="33" t="str">
        <f t="shared" ref="T195:T258" si="19">IF(OR(Q195&gt;7000,M195&gt;5),"Priority order","Normal ")</f>
        <v xml:space="preserve">Normal </v>
      </c>
      <c r="V195" s="15"/>
    </row>
    <row r="196" spans="1:22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25" t="str">
        <f t="shared" si="15"/>
        <v>Online</v>
      </c>
      <c r="I196" s="1" t="s">
        <v>35</v>
      </c>
      <c r="J196" s="1" t="s">
        <v>31</v>
      </c>
      <c r="K196" s="1" t="s">
        <v>65</v>
      </c>
      <c r="L196" s="1" t="s">
        <v>47</v>
      </c>
      <c r="M196" s="1">
        <v>6</v>
      </c>
      <c r="N196" s="1">
        <v>344.65</v>
      </c>
      <c r="O196" s="1">
        <v>10</v>
      </c>
      <c r="P196" s="31" t="str">
        <f t="shared" si="16"/>
        <v>Heavy</v>
      </c>
      <c r="Q196" s="1">
        <v>1861.11</v>
      </c>
      <c r="R196" s="27" t="str">
        <f t="shared" si="17"/>
        <v>Not</v>
      </c>
      <c r="S196" s="29" t="str">
        <f t="shared" si="18"/>
        <v>Average</v>
      </c>
      <c r="T196" s="33" t="str">
        <f t="shared" si="19"/>
        <v>Priority order</v>
      </c>
      <c r="V196" s="15"/>
    </row>
    <row r="197" spans="1:22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25" t="str">
        <f t="shared" si="15"/>
        <v>Marketplace</v>
      </c>
      <c r="I197" s="1" t="s">
        <v>44</v>
      </c>
      <c r="J197" s="1" t="s">
        <v>52</v>
      </c>
      <c r="K197" s="1" t="s">
        <v>53</v>
      </c>
      <c r="L197" s="1" t="s">
        <v>21</v>
      </c>
      <c r="M197" s="1">
        <v>8</v>
      </c>
      <c r="N197" s="1">
        <v>2561.86</v>
      </c>
      <c r="O197" s="1">
        <v>0</v>
      </c>
      <c r="P197" s="31" t="str">
        <f t="shared" si="16"/>
        <v>Normal</v>
      </c>
      <c r="Q197" s="1">
        <v>20494.88</v>
      </c>
      <c r="R197" s="27" t="str">
        <f t="shared" si="17"/>
        <v>Eligible</v>
      </c>
      <c r="S197" s="29" t="str">
        <f t="shared" si="18"/>
        <v>Excellent</v>
      </c>
      <c r="T197" s="33" t="str">
        <f t="shared" si="19"/>
        <v>Priority order</v>
      </c>
      <c r="V197" s="15"/>
    </row>
    <row r="198" spans="1:22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25" t="str">
        <f t="shared" si="15"/>
        <v>Online</v>
      </c>
      <c r="I198" s="1" t="s">
        <v>35</v>
      </c>
      <c r="J198" s="1" t="s">
        <v>49</v>
      </c>
      <c r="K198" s="1" t="s">
        <v>68</v>
      </c>
      <c r="L198" s="1" t="s">
        <v>45</v>
      </c>
      <c r="M198" s="1">
        <v>4</v>
      </c>
      <c r="N198" s="1">
        <v>1256.21</v>
      </c>
      <c r="O198" s="1">
        <v>10</v>
      </c>
      <c r="P198" s="31" t="str">
        <f t="shared" si="16"/>
        <v>Heavy</v>
      </c>
      <c r="Q198" s="1">
        <v>4522.3599999999997</v>
      </c>
      <c r="R198" s="27" t="str">
        <f t="shared" si="17"/>
        <v>Not</v>
      </c>
      <c r="S198" s="29" t="str">
        <f t="shared" si="18"/>
        <v>Good</v>
      </c>
      <c r="T198" s="33" t="str">
        <f t="shared" si="19"/>
        <v xml:space="preserve">Normal </v>
      </c>
      <c r="V198" s="15"/>
    </row>
    <row r="199" spans="1:22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25" t="str">
        <f t="shared" si="15"/>
        <v>Online</v>
      </c>
      <c r="I199" s="1" t="s">
        <v>42</v>
      </c>
      <c r="J199" s="1" t="s">
        <v>19</v>
      </c>
      <c r="K199" s="1" t="s">
        <v>66</v>
      </c>
      <c r="L199" s="1" t="s">
        <v>45</v>
      </c>
      <c r="M199" s="1">
        <v>5</v>
      </c>
      <c r="N199" s="1">
        <v>1227.02</v>
      </c>
      <c r="O199" s="1">
        <v>15</v>
      </c>
      <c r="P199" s="31" t="str">
        <f t="shared" si="16"/>
        <v>Heavy</v>
      </c>
      <c r="Q199" s="1">
        <v>5214.84</v>
      </c>
      <c r="R199" s="27" t="str">
        <f t="shared" si="17"/>
        <v>Not</v>
      </c>
      <c r="S199" s="29" t="str">
        <f t="shared" si="18"/>
        <v>Good</v>
      </c>
      <c r="T199" s="33" t="str">
        <f t="shared" si="19"/>
        <v xml:space="preserve">Normal </v>
      </c>
      <c r="V199" s="15"/>
    </row>
    <row r="200" spans="1:22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25" t="str">
        <f t="shared" si="15"/>
        <v>Online</v>
      </c>
      <c r="I200" s="1" t="s">
        <v>35</v>
      </c>
      <c r="J200" s="1" t="s">
        <v>49</v>
      </c>
      <c r="K200" s="1" t="s">
        <v>51</v>
      </c>
      <c r="L200" s="1" t="s">
        <v>47</v>
      </c>
      <c r="M200" s="1">
        <v>4</v>
      </c>
      <c r="N200" s="1">
        <v>1428.19</v>
      </c>
      <c r="O200" s="1">
        <v>10</v>
      </c>
      <c r="P200" s="31" t="str">
        <f t="shared" si="16"/>
        <v>Heavy</v>
      </c>
      <c r="Q200" s="1">
        <v>5141.4799999999996</v>
      </c>
      <c r="R200" s="27" t="str">
        <f t="shared" si="17"/>
        <v>Not</v>
      </c>
      <c r="S200" s="29" t="str">
        <f t="shared" si="18"/>
        <v>Good</v>
      </c>
      <c r="T200" s="33" t="str">
        <f t="shared" si="19"/>
        <v xml:space="preserve">Normal </v>
      </c>
      <c r="V200" s="15"/>
    </row>
    <row r="201" spans="1:22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25" t="str">
        <f t="shared" si="15"/>
        <v>Marketplace</v>
      </c>
      <c r="I201" s="1" t="s">
        <v>44</v>
      </c>
      <c r="J201" s="1" t="s">
        <v>19</v>
      </c>
      <c r="K201" s="1" t="s">
        <v>66</v>
      </c>
      <c r="L201" s="1" t="s">
        <v>33</v>
      </c>
      <c r="M201" s="1">
        <v>3</v>
      </c>
      <c r="N201" s="1">
        <v>2701.77</v>
      </c>
      <c r="O201" s="1">
        <v>15</v>
      </c>
      <c r="P201" s="31" t="str">
        <f t="shared" si="16"/>
        <v>Heavy</v>
      </c>
      <c r="Q201" s="1">
        <v>6889.51</v>
      </c>
      <c r="R201" s="27" t="str">
        <f t="shared" si="17"/>
        <v>Not</v>
      </c>
      <c r="S201" s="29" t="str">
        <f t="shared" si="18"/>
        <v>Good</v>
      </c>
      <c r="T201" s="33" t="str">
        <f t="shared" si="19"/>
        <v xml:space="preserve">Normal </v>
      </c>
      <c r="V201" s="15"/>
    </row>
    <row r="202" spans="1:22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25" t="str">
        <f t="shared" si="15"/>
        <v>Marketplace</v>
      </c>
      <c r="I202" s="1" t="s">
        <v>42</v>
      </c>
      <c r="J202" s="1" t="s">
        <v>57</v>
      </c>
      <c r="K202" s="1" t="s">
        <v>59</v>
      </c>
      <c r="L202" s="1" t="s">
        <v>28</v>
      </c>
      <c r="M202" s="1">
        <v>5</v>
      </c>
      <c r="N202" s="1">
        <v>3501.94</v>
      </c>
      <c r="O202" s="1">
        <v>20</v>
      </c>
      <c r="P202" s="31" t="str">
        <f t="shared" si="16"/>
        <v>Heavy</v>
      </c>
      <c r="Q202" s="1">
        <v>14007.76</v>
      </c>
      <c r="R202" s="27" t="str">
        <f t="shared" si="17"/>
        <v>Not</v>
      </c>
      <c r="S202" s="29" t="str">
        <f t="shared" si="18"/>
        <v>Excellent</v>
      </c>
      <c r="T202" s="33" t="str">
        <f t="shared" si="19"/>
        <v>Priority order</v>
      </c>
      <c r="V202" s="15"/>
    </row>
    <row r="203" spans="1:22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25" t="str">
        <f t="shared" si="15"/>
        <v>Online</v>
      </c>
      <c r="I203" s="1" t="s">
        <v>18</v>
      </c>
      <c r="J203" s="1" t="s">
        <v>31</v>
      </c>
      <c r="K203" s="1" t="s">
        <v>65</v>
      </c>
      <c r="L203" s="1" t="s">
        <v>28</v>
      </c>
      <c r="M203" s="1">
        <v>9</v>
      </c>
      <c r="N203" s="1">
        <v>3072.48</v>
      </c>
      <c r="O203" s="1">
        <v>0</v>
      </c>
      <c r="P203" s="31" t="str">
        <f t="shared" si="16"/>
        <v>Normal</v>
      </c>
      <c r="Q203" s="1">
        <v>27652.32</v>
      </c>
      <c r="R203" s="27" t="str">
        <f t="shared" si="17"/>
        <v>Eligible</v>
      </c>
      <c r="S203" s="29" t="str">
        <f t="shared" si="18"/>
        <v>Excellent</v>
      </c>
      <c r="T203" s="33" t="str">
        <f t="shared" si="19"/>
        <v>Priority order</v>
      </c>
      <c r="V203" s="15"/>
    </row>
    <row r="204" spans="1:22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25" t="str">
        <f t="shared" si="15"/>
        <v>Marketplace</v>
      </c>
      <c r="I204" s="1" t="s">
        <v>18</v>
      </c>
      <c r="J204" s="1" t="s">
        <v>49</v>
      </c>
      <c r="K204" s="1" t="s">
        <v>68</v>
      </c>
      <c r="L204" s="1" t="s">
        <v>45</v>
      </c>
      <c r="M204" s="1">
        <v>8</v>
      </c>
      <c r="N204" s="1">
        <v>2950.99</v>
      </c>
      <c r="O204" s="1">
        <v>20</v>
      </c>
      <c r="P204" s="31" t="str">
        <f t="shared" si="16"/>
        <v>Heavy</v>
      </c>
      <c r="Q204" s="1">
        <v>18886.34</v>
      </c>
      <c r="R204" s="27" t="str">
        <f t="shared" si="17"/>
        <v>Not</v>
      </c>
      <c r="S204" s="29" t="str">
        <f t="shared" si="18"/>
        <v>Excellent</v>
      </c>
      <c r="T204" s="33" t="str">
        <f t="shared" si="19"/>
        <v>Priority order</v>
      </c>
      <c r="V204" s="15"/>
    </row>
    <row r="205" spans="1:22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25" t="str">
        <f t="shared" si="15"/>
        <v>Online</v>
      </c>
      <c r="I205" s="1" t="s">
        <v>44</v>
      </c>
      <c r="J205" s="1" t="s">
        <v>26</v>
      </c>
      <c r="K205" s="1" t="s">
        <v>27</v>
      </c>
      <c r="L205" s="1" t="s">
        <v>47</v>
      </c>
      <c r="M205" s="1">
        <v>8</v>
      </c>
      <c r="N205" s="1">
        <v>2014.91</v>
      </c>
      <c r="O205" s="1">
        <v>5</v>
      </c>
      <c r="P205" s="31" t="str">
        <f t="shared" si="16"/>
        <v>Heavy</v>
      </c>
      <c r="Q205" s="1">
        <v>15313.32</v>
      </c>
      <c r="R205" s="27" t="str">
        <f t="shared" si="17"/>
        <v>Eligible</v>
      </c>
      <c r="S205" s="29" t="str">
        <f t="shared" si="18"/>
        <v>Excellent</v>
      </c>
      <c r="T205" s="33" t="str">
        <f t="shared" si="19"/>
        <v>Priority order</v>
      </c>
      <c r="V205" s="15"/>
    </row>
    <row r="206" spans="1:22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25" t="str">
        <f t="shared" si="15"/>
        <v>Online</v>
      </c>
      <c r="I206" s="1" t="s">
        <v>35</v>
      </c>
      <c r="J206" s="1" t="s">
        <v>52</v>
      </c>
      <c r="K206" s="1" t="s">
        <v>60</v>
      </c>
      <c r="L206" s="1" t="s">
        <v>28</v>
      </c>
      <c r="M206" s="1">
        <v>8</v>
      </c>
      <c r="N206" s="1">
        <v>2821.15</v>
      </c>
      <c r="O206" s="1">
        <v>10</v>
      </c>
      <c r="P206" s="31" t="str">
        <f t="shared" si="16"/>
        <v>Heavy</v>
      </c>
      <c r="Q206" s="1">
        <v>20312.28</v>
      </c>
      <c r="R206" s="27" t="str">
        <f t="shared" si="17"/>
        <v>Not</v>
      </c>
      <c r="S206" s="29" t="str">
        <f t="shared" si="18"/>
        <v>Excellent</v>
      </c>
      <c r="T206" s="33" t="str">
        <f t="shared" si="19"/>
        <v>Priority order</v>
      </c>
      <c r="V206" s="15"/>
    </row>
    <row r="207" spans="1:22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25" t="str">
        <f t="shared" si="15"/>
        <v>Online</v>
      </c>
      <c r="I207" s="1" t="s">
        <v>25</v>
      </c>
      <c r="J207" s="1" t="s">
        <v>57</v>
      </c>
      <c r="K207" s="1" t="s">
        <v>59</v>
      </c>
      <c r="L207" s="1" t="s">
        <v>45</v>
      </c>
      <c r="M207" s="1">
        <v>8</v>
      </c>
      <c r="N207" s="1">
        <v>2278.14</v>
      </c>
      <c r="O207" s="1">
        <v>5</v>
      </c>
      <c r="P207" s="31" t="str">
        <f t="shared" si="16"/>
        <v>Heavy</v>
      </c>
      <c r="Q207" s="1">
        <v>17313.86</v>
      </c>
      <c r="R207" s="27" t="str">
        <f t="shared" si="17"/>
        <v>Eligible</v>
      </c>
      <c r="S207" s="29" t="str">
        <f t="shared" si="18"/>
        <v>Excellent</v>
      </c>
      <c r="T207" s="33" t="str">
        <f t="shared" si="19"/>
        <v>Priority order</v>
      </c>
      <c r="V207" s="15"/>
    </row>
    <row r="208" spans="1:22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25" t="str">
        <f t="shared" si="15"/>
        <v>Online</v>
      </c>
      <c r="I208" s="1" t="s">
        <v>44</v>
      </c>
      <c r="J208" s="1" t="s">
        <v>49</v>
      </c>
      <c r="K208" s="1" t="s">
        <v>51</v>
      </c>
      <c r="L208" s="1" t="s">
        <v>33</v>
      </c>
      <c r="M208" s="1">
        <v>7</v>
      </c>
      <c r="N208" s="1">
        <v>982.56</v>
      </c>
      <c r="O208" s="1">
        <v>10</v>
      </c>
      <c r="P208" s="31" t="str">
        <f t="shared" si="16"/>
        <v>Heavy</v>
      </c>
      <c r="Q208" s="1">
        <v>6190.13</v>
      </c>
      <c r="R208" s="27" t="str">
        <f t="shared" si="17"/>
        <v>Not</v>
      </c>
      <c r="S208" s="29" t="str">
        <f t="shared" si="18"/>
        <v>Good</v>
      </c>
      <c r="T208" s="33" t="str">
        <f t="shared" si="19"/>
        <v>Priority order</v>
      </c>
      <c r="V208" s="15"/>
    </row>
    <row r="209" spans="1:22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25" t="str">
        <f t="shared" si="15"/>
        <v>Online</v>
      </c>
      <c r="I209" s="1" t="s">
        <v>42</v>
      </c>
      <c r="J209" s="1" t="s">
        <v>52</v>
      </c>
      <c r="K209" s="1" t="s">
        <v>53</v>
      </c>
      <c r="L209" s="1" t="s">
        <v>28</v>
      </c>
      <c r="M209" s="1">
        <v>8</v>
      </c>
      <c r="N209" s="1">
        <v>953.07</v>
      </c>
      <c r="O209" s="1">
        <v>20</v>
      </c>
      <c r="P209" s="31" t="str">
        <f t="shared" si="16"/>
        <v>Heavy</v>
      </c>
      <c r="Q209" s="1">
        <v>6099.65</v>
      </c>
      <c r="R209" s="27" t="str">
        <f t="shared" si="17"/>
        <v>Not</v>
      </c>
      <c r="S209" s="29" t="str">
        <f t="shared" si="18"/>
        <v>Good</v>
      </c>
      <c r="T209" s="33" t="str">
        <f t="shared" si="19"/>
        <v>Priority order</v>
      </c>
      <c r="V209" s="15"/>
    </row>
    <row r="210" spans="1:22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25" t="str">
        <f t="shared" si="15"/>
        <v>Online</v>
      </c>
      <c r="I210" s="1" t="s">
        <v>42</v>
      </c>
      <c r="J210" s="1" t="s">
        <v>49</v>
      </c>
      <c r="K210" s="1" t="s">
        <v>50</v>
      </c>
      <c r="L210" s="1" t="s">
        <v>45</v>
      </c>
      <c r="M210" s="1">
        <v>8</v>
      </c>
      <c r="N210" s="1">
        <v>1291.1099999999999</v>
      </c>
      <c r="O210" s="1">
        <v>15</v>
      </c>
      <c r="P210" s="31" t="str">
        <f t="shared" si="16"/>
        <v>Heavy</v>
      </c>
      <c r="Q210" s="1">
        <v>8779.5499999999993</v>
      </c>
      <c r="R210" s="27" t="str">
        <f t="shared" si="17"/>
        <v>Not</v>
      </c>
      <c r="S210" s="29" t="str">
        <f t="shared" si="18"/>
        <v>Excellent</v>
      </c>
      <c r="T210" s="33" t="str">
        <f t="shared" si="19"/>
        <v>Priority order</v>
      </c>
      <c r="V210" s="15"/>
    </row>
    <row r="211" spans="1:22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25" t="str">
        <f t="shared" si="15"/>
        <v>Marketplace</v>
      </c>
      <c r="I211" s="1" t="s">
        <v>18</v>
      </c>
      <c r="J211" s="1" t="s">
        <v>19</v>
      </c>
      <c r="K211" s="1" t="s">
        <v>20</v>
      </c>
      <c r="L211" s="1" t="s">
        <v>45</v>
      </c>
      <c r="M211" s="1">
        <v>8</v>
      </c>
      <c r="N211" s="1">
        <v>3656.59</v>
      </c>
      <c r="O211" s="1">
        <v>15</v>
      </c>
      <c r="P211" s="31" t="str">
        <f t="shared" si="16"/>
        <v>Heavy</v>
      </c>
      <c r="Q211" s="1">
        <v>24864.81</v>
      </c>
      <c r="R211" s="27" t="str">
        <f t="shared" si="17"/>
        <v>Not</v>
      </c>
      <c r="S211" s="29" t="str">
        <f t="shared" si="18"/>
        <v>Excellent</v>
      </c>
      <c r="T211" s="33" t="str">
        <f t="shared" si="19"/>
        <v>Priority order</v>
      </c>
      <c r="V211" s="15"/>
    </row>
    <row r="212" spans="1:22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25" t="str">
        <f t="shared" si="15"/>
        <v>Online</v>
      </c>
      <c r="I212" s="1" t="s">
        <v>42</v>
      </c>
      <c r="J212" s="1" t="s">
        <v>49</v>
      </c>
      <c r="K212" s="1" t="s">
        <v>51</v>
      </c>
      <c r="L212" s="1" t="s">
        <v>21</v>
      </c>
      <c r="M212" s="1">
        <v>7</v>
      </c>
      <c r="N212" s="1">
        <v>2257.5500000000002</v>
      </c>
      <c r="O212" s="1">
        <v>10</v>
      </c>
      <c r="P212" s="31" t="str">
        <f t="shared" si="16"/>
        <v>Heavy</v>
      </c>
      <c r="Q212" s="1">
        <v>14222.56</v>
      </c>
      <c r="R212" s="27" t="str">
        <f t="shared" si="17"/>
        <v>Not</v>
      </c>
      <c r="S212" s="29" t="str">
        <f t="shared" si="18"/>
        <v>Excellent</v>
      </c>
      <c r="T212" s="33" t="str">
        <f t="shared" si="19"/>
        <v>Priority order</v>
      </c>
      <c r="V212" s="15"/>
    </row>
    <row r="213" spans="1:22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25" t="str">
        <f t="shared" si="15"/>
        <v>Marketplace</v>
      </c>
      <c r="I213" s="1" t="s">
        <v>44</v>
      </c>
      <c r="J213" s="1" t="s">
        <v>26</v>
      </c>
      <c r="K213" s="1" t="s">
        <v>61</v>
      </c>
      <c r="L213" s="1" t="s">
        <v>33</v>
      </c>
      <c r="M213" s="1">
        <v>1</v>
      </c>
      <c r="N213" s="1">
        <v>2975.54</v>
      </c>
      <c r="O213" s="1">
        <v>15</v>
      </c>
      <c r="P213" s="31" t="str">
        <f t="shared" si="16"/>
        <v>Heavy</v>
      </c>
      <c r="Q213" s="1">
        <v>2529.21</v>
      </c>
      <c r="R213" s="27" t="str">
        <f t="shared" si="17"/>
        <v>Not</v>
      </c>
      <c r="S213" s="29" t="str">
        <f t="shared" si="18"/>
        <v>Average</v>
      </c>
      <c r="T213" s="33" t="str">
        <f t="shared" si="19"/>
        <v xml:space="preserve">Normal </v>
      </c>
      <c r="V213" s="15"/>
    </row>
    <row r="214" spans="1:22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25" t="str">
        <f t="shared" si="15"/>
        <v>Online</v>
      </c>
      <c r="I214" s="1" t="s">
        <v>42</v>
      </c>
      <c r="J214" s="1" t="s">
        <v>49</v>
      </c>
      <c r="K214" s="1" t="s">
        <v>63</v>
      </c>
      <c r="L214" s="1" t="s">
        <v>21</v>
      </c>
      <c r="M214" s="1">
        <v>4</v>
      </c>
      <c r="N214" s="1">
        <v>1484.25</v>
      </c>
      <c r="O214" s="1">
        <v>20</v>
      </c>
      <c r="P214" s="31" t="str">
        <f t="shared" si="16"/>
        <v>Heavy</v>
      </c>
      <c r="Q214" s="1">
        <v>4749.6000000000004</v>
      </c>
      <c r="R214" s="27" t="str">
        <f t="shared" si="17"/>
        <v>Not</v>
      </c>
      <c r="S214" s="29" t="str">
        <f t="shared" si="18"/>
        <v>Good</v>
      </c>
      <c r="T214" s="33" t="str">
        <f t="shared" si="19"/>
        <v xml:space="preserve">Normal </v>
      </c>
      <c r="V214" s="15"/>
    </row>
    <row r="215" spans="1:22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25" t="str">
        <f t="shared" si="15"/>
        <v>Online</v>
      </c>
      <c r="I215" s="1" t="s">
        <v>44</v>
      </c>
      <c r="J215" s="1" t="s">
        <v>49</v>
      </c>
      <c r="K215" s="1" t="s">
        <v>63</v>
      </c>
      <c r="L215" s="1" t="s">
        <v>47</v>
      </c>
      <c r="M215" s="1">
        <v>4</v>
      </c>
      <c r="N215" s="1">
        <v>1719.71</v>
      </c>
      <c r="O215" s="1">
        <v>15</v>
      </c>
      <c r="P215" s="31" t="str">
        <f t="shared" si="16"/>
        <v>Heavy</v>
      </c>
      <c r="Q215" s="1">
        <v>5847.01</v>
      </c>
      <c r="R215" s="27" t="str">
        <f t="shared" si="17"/>
        <v>Not</v>
      </c>
      <c r="S215" s="29" t="str">
        <f t="shared" si="18"/>
        <v>Good</v>
      </c>
      <c r="T215" s="33" t="str">
        <f t="shared" si="19"/>
        <v xml:space="preserve">Normal </v>
      </c>
      <c r="V215" s="15"/>
    </row>
    <row r="216" spans="1:22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25" t="str">
        <f t="shared" si="15"/>
        <v>Online</v>
      </c>
      <c r="I216" s="1" t="s">
        <v>25</v>
      </c>
      <c r="J216" s="1" t="s">
        <v>26</v>
      </c>
      <c r="K216" s="1" t="s">
        <v>27</v>
      </c>
      <c r="L216" s="1" t="s">
        <v>21</v>
      </c>
      <c r="M216" s="1">
        <v>5</v>
      </c>
      <c r="N216" s="1">
        <v>633.42999999999995</v>
      </c>
      <c r="O216" s="1">
        <v>20</v>
      </c>
      <c r="P216" s="31" t="str">
        <f t="shared" si="16"/>
        <v>Heavy</v>
      </c>
      <c r="Q216" s="1">
        <v>2533.7199999999998</v>
      </c>
      <c r="R216" s="27" t="str">
        <f t="shared" si="17"/>
        <v>Not</v>
      </c>
      <c r="S216" s="29" t="str">
        <f t="shared" si="18"/>
        <v>Average</v>
      </c>
      <c r="T216" s="33" t="str">
        <f t="shared" si="19"/>
        <v xml:space="preserve">Normal </v>
      </c>
      <c r="V216" s="15"/>
    </row>
    <row r="217" spans="1:22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25" t="str">
        <f t="shared" si="15"/>
        <v>Online</v>
      </c>
      <c r="I217" s="1" t="s">
        <v>18</v>
      </c>
      <c r="J217" s="1" t="s">
        <v>57</v>
      </c>
      <c r="K217" s="1" t="s">
        <v>67</v>
      </c>
      <c r="L217" s="1" t="s">
        <v>21</v>
      </c>
      <c r="M217" s="1">
        <v>6</v>
      </c>
      <c r="N217" s="1">
        <v>809.49</v>
      </c>
      <c r="O217" s="1">
        <v>5</v>
      </c>
      <c r="P217" s="31" t="str">
        <f t="shared" si="16"/>
        <v>Heavy</v>
      </c>
      <c r="Q217" s="1">
        <v>4614.09</v>
      </c>
      <c r="R217" s="27" t="str">
        <f t="shared" si="17"/>
        <v>Not</v>
      </c>
      <c r="S217" s="29" t="str">
        <f t="shared" si="18"/>
        <v>Good</v>
      </c>
      <c r="T217" s="33" t="str">
        <f t="shared" si="19"/>
        <v>Priority order</v>
      </c>
      <c r="V217" s="15"/>
    </row>
    <row r="218" spans="1:22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25" t="str">
        <f t="shared" si="15"/>
        <v>Online</v>
      </c>
      <c r="I218" s="1" t="s">
        <v>42</v>
      </c>
      <c r="J218" s="1" t="s">
        <v>49</v>
      </c>
      <c r="K218" s="1" t="s">
        <v>50</v>
      </c>
      <c r="L218" s="1" t="s">
        <v>28</v>
      </c>
      <c r="M218" s="1">
        <v>4</v>
      </c>
      <c r="N218" s="1">
        <v>3335.32</v>
      </c>
      <c r="O218" s="1">
        <v>20</v>
      </c>
      <c r="P218" s="31" t="str">
        <f t="shared" si="16"/>
        <v>Heavy</v>
      </c>
      <c r="Q218" s="1">
        <v>10673.02</v>
      </c>
      <c r="R218" s="27" t="str">
        <f t="shared" si="17"/>
        <v>Not</v>
      </c>
      <c r="S218" s="29" t="str">
        <f t="shared" si="18"/>
        <v>Excellent</v>
      </c>
      <c r="T218" s="33" t="str">
        <f t="shared" si="19"/>
        <v>Priority order</v>
      </c>
      <c r="V218" s="15"/>
    </row>
    <row r="219" spans="1:22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25" t="str">
        <f t="shared" si="15"/>
        <v>Online</v>
      </c>
      <c r="I219" s="1" t="s">
        <v>44</v>
      </c>
      <c r="J219" s="1" t="s">
        <v>26</v>
      </c>
      <c r="K219" s="1" t="s">
        <v>69</v>
      </c>
      <c r="L219" s="1" t="s">
        <v>45</v>
      </c>
      <c r="M219" s="1">
        <v>2</v>
      </c>
      <c r="N219" s="1">
        <v>2401.63</v>
      </c>
      <c r="O219" s="1">
        <v>0</v>
      </c>
      <c r="P219" s="31" t="str">
        <f t="shared" si="16"/>
        <v>Normal</v>
      </c>
      <c r="Q219" s="1">
        <v>4803.26</v>
      </c>
      <c r="R219" s="27" t="str">
        <f t="shared" si="17"/>
        <v>Not</v>
      </c>
      <c r="S219" s="29" t="str">
        <f t="shared" si="18"/>
        <v>Good</v>
      </c>
      <c r="T219" s="33" t="str">
        <f t="shared" si="19"/>
        <v xml:space="preserve">Normal </v>
      </c>
      <c r="V219" s="15"/>
    </row>
    <row r="220" spans="1:22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25" t="str">
        <f t="shared" si="15"/>
        <v>Marketplace</v>
      </c>
      <c r="I220" s="1" t="s">
        <v>35</v>
      </c>
      <c r="J220" s="1" t="s">
        <v>52</v>
      </c>
      <c r="K220" s="1" t="s">
        <v>64</v>
      </c>
      <c r="L220" s="1" t="s">
        <v>33</v>
      </c>
      <c r="M220" s="1">
        <v>6</v>
      </c>
      <c r="N220" s="1">
        <v>1449.5</v>
      </c>
      <c r="O220" s="1">
        <v>0</v>
      </c>
      <c r="P220" s="31" t="str">
        <f t="shared" si="16"/>
        <v>Normal</v>
      </c>
      <c r="Q220" s="1">
        <v>8697</v>
      </c>
      <c r="R220" s="27" t="str">
        <f t="shared" si="17"/>
        <v>Eligible</v>
      </c>
      <c r="S220" s="29" t="str">
        <f t="shared" si="18"/>
        <v>Excellent</v>
      </c>
      <c r="T220" s="33" t="str">
        <f t="shared" si="19"/>
        <v>Priority order</v>
      </c>
      <c r="V220" s="15"/>
    </row>
    <row r="221" spans="1:22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25" t="str">
        <f t="shared" si="15"/>
        <v>Online</v>
      </c>
      <c r="I221" s="1" t="s">
        <v>18</v>
      </c>
      <c r="J221" s="1" t="s">
        <v>19</v>
      </c>
      <c r="K221" s="1" t="s">
        <v>55</v>
      </c>
      <c r="L221" s="1" t="s">
        <v>21</v>
      </c>
      <c r="M221" s="1">
        <v>8</v>
      </c>
      <c r="N221" s="1">
        <v>3240.98</v>
      </c>
      <c r="O221" s="1">
        <v>0</v>
      </c>
      <c r="P221" s="31" t="str">
        <f t="shared" si="16"/>
        <v>Normal</v>
      </c>
      <c r="Q221" s="1">
        <v>25927.84</v>
      </c>
      <c r="R221" s="27" t="str">
        <f t="shared" si="17"/>
        <v>Eligible</v>
      </c>
      <c r="S221" s="29" t="str">
        <f t="shared" si="18"/>
        <v>Excellent</v>
      </c>
      <c r="T221" s="33" t="str">
        <f t="shared" si="19"/>
        <v>Priority order</v>
      </c>
      <c r="V221" s="15"/>
    </row>
    <row r="222" spans="1:22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25" t="str">
        <f t="shared" si="15"/>
        <v>Online</v>
      </c>
      <c r="I222" s="1" t="s">
        <v>25</v>
      </c>
      <c r="J222" s="1" t="s">
        <v>19</v>
      </c>
      <c r="K222" s="1" t="s">
        <v>20</v>
      </c>
      <c r="L222" s="1" t="s">
        <v>33</v>
      </c>
      <c r="M222" s="1">
        <v>8</v>
      </c>
      <c r="N222" s="1">
        <v>1099.0999999999999</v>
      </c>
      <c r="O222" s="1">
        <v>10</v>
      </c>
      <c r="P222" s="31" t="str">
        <f t="shared" si="16"/>
        <v>Heavy</v>
      </c>
      <c r="Q222" s="1">
        <v>7913.52</v>
      </c>
      <c r="R222" s="27" t="str">
        <f t="shared" si="17"/>
        <v>Not</v>
      </c>
      <c r="S222" s="29" t="str">
        <f t="shared" si="18"/>
        <v>Excellent</v>
      </c>
      <c r="T222" s="33" t="str">
        <f t="shared" si="19"/>
        <v>Priority order</v>
      </c>
      <c r="V222" s="15"/>
    </row>
    <row r="223" spans="1:22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25" t="str">
        <f t="shared" si="15"/>
        <v>Online</v>
      </c>
      <c r="I223" s="1" t="s">
        <v>44</v>
      </c>
      <c r="J223" s="1" t="s">
        <v>49</v>
      </c>
      <c r="K223" s="1" t="s">
        <v>51</v>
      </c>
      <c r="L223" s="1" t="s">
        <v>21</v>
      </c>
      <c r="M223" s="1">
        <v>7</v>
      </c>
      <c r="N223" s="1">
        <v>3907.73</v>
      </c>
      <c r="O223" s="1">
        <v>10</v>
      </c>
      <c r="P223" s="31" t="str">
        <f t="shared" si="16"/>
        <v>Heavy</v>
      </c>
      <c r="Q223" s="1">
        <v>24618.7</v>
      </c>
      <c r="R223" s="27" t="str">
        <f t="shared" si="17"/>
        <v>Not</v>
      </c>
      <c r="S223" s="29" t="str">
        <f t="shared" si="18"/>
        <v>Excellent</v>
      </c>
      <c r="T223" s="33" t="str">
        <f t="shared" si="19"/>
        <v>Priority order</v>
      </c>
      <c r="V223" s="15"/>
    </row>
    <row r="224" spans="1:22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25" t="str">
        <f t="shared" si="15"/>
        <v>Online</v>
      </c>
      <c r="I224" s="1" t="s">
        <v>25</v>
      </c>
      <c r="J224" s="1" t="s">
        <v>57</v>
      </c>
      <c r="K224" s="1" t="s">
        <v>59</v>
      </c>
      <c r="L224" s="1" t="s">
        <v>47</v>
      </c>
      <c r="M224" s="1">
        <v>6</v>
      </c>
      <c r="N224" s="1">
        <v>1477.55</v>
      </c>
      <c r="O224" s="1">
        <v>10</v>
      </c>
      <c r="P224" s="31" t="str">
        <f t="shared" si="16"/>
        <v>Heavy</v>
      </c>
      <c r="Q224" s="1">
        <v>7978.77</v>
      </c>
      <c r="R224" s="27" t="str">
        <f t="shared" si="17"/>
        <v>Not</v>
      </c>
      <c r="S224" s="29" t="str">
        <f t="shared" si="18"/>
        <v>Excellent</v>
      </c>
      <c r="T224" s="33" t="str">
        <f t="shared" si="19"/>
        <v>Priority order</v>
      </c>
      <c r="V224" s="15"/>
    </row>
    <row r="225" spans="1:22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25" t="str">
        <f t="shared" si="15"/>
        <v>Marketplace</v>
      </c>
      <c r="I225" s="1" t="s">
        <v>25</v>
      </c>
      <c r="J225" s="1" t="s">
        <v>57</v>
      </c>
      <c r="K225" s="1" t="s">
        <v>58</v>
      </c>
      <c r="L225" s="1" t="s">
        <v>21</v>
      </c>
      <c r="M225" s="1">
        <v>2</v>
      </c>
      <c r="N225" s="1">
        <v>1448.65</v>
      </c>
      <c r="O225" s="1">
        <v>20</v>
      </c>
      <c r="P225" s="31" t="str">
        <f t="shared" si="16"/>
        <v>Heavy</v>
      </c>
      <c r="Q225" s="1">
        <v>2317.84</v>
      </c>
      <c r="R225" s="27" t="str">
        <f t="shared" si="17"/>
        <v>Not</v>
      </c>
      <c r="S225" s="29" t="str">
        <f t="shared" si="18"/>
        <v>Average</v>
      </c>
      <c r="T225" s="33" t="str">
        <f t="shared" si="19"/>
        <v xml:space="preserve">Normal </v>
      </c>
      <c r="V225" s="15"/>
    </row>
    <row r="226" spans="1:22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25" t="str">
        <f t="shared" si="15"/>
        <v>Marketplace</v>
      </c>
      <c r="I226" s="1" t="s">
        <v>42</v>
      </c>
      <c r="J226" s="1" t="s">
        <v>52</v>
      </c>
      <c r="K226" s="1" t="s">
        <v>53</v>
      </c>
      <c r="L226" s="1" t="s">
        <v>28</v>
      </c>
      <c r="M226" s="1">
        <v>7</v>
      </c>
      <c r="N226" s="1">
        <v>1350.86</v>
      </c>
      <c r="O226" s="1">
        <v>10</v>
      </c>
      <c r="P226" s="31" t="str">
        <f t="shared" si="16"/>
        <v>Heavy</v>
      </c>
      <c r="Q226" s="1">
        <v>8510.42</v>
      </c>
      <c r="R226" s="27" t="str">
        <f t="shared" si="17"/>
        <v>Not</v>
      </c>
      <c r="S226" s="29" t="str">
        <f t="shared" si="18"/>
        <v>Excellent</v>
      </c>
      <c r="T226" s="33" t="str">
        <f t="shared" si="19"/>
        <v>Priority order</v>
      </c>
      <c r="V226" s="15"/>
    </row>
    <row r="227" spans="1:22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25" t="str">
        <f t="shared" si="15"/>
        <v>Online</v>
      </c>
      <c r="I227" s="1" t="s">
        <v>42</v>
      </c>
      <c r="J227" s="1" t="s">
        <v>49</v>
      </c>
      <c r="K227" s="1" t="s">
        <v>63</v>
      </c>
      <c r="L227" s="1" t="s">
        <v>45</v>
      </c>
      <c r="M227" s="1">
        <v>5</v>
      </c>
      <c r="N227" s="1">
        <v>620.13</v>
      </c>
      <c r="O227" s="1">
        <v>5</v>
      </c>
      <c r="P227" s="31" t="str">
        <f t="shared" si="16"/>
        <v>Heavy</v>
      </c>
      <c r="Q227" s="1">
        <v>2945.62</v>
      </c>
      <c r="R227" s="27" t="str">
        <f t="shared" si="17"/>
        <v>Not</v>
      </c>
      <c r="S227" s="29" t="str">
        <f t="shared" si="18"/>
        <v>Average</v>
      </c>
      <c r="T227" s="33" t="str">
        <f t="shared" si="19"/>
        <v xml:space="preserve">Normal </v>
      </c>
      <c r="V227" s="15"/>
    </row>
    <row r="228" spans="1:22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25" t="str">
        <f t="shared" si="15"/>
        <v>Online</v>
      </c>
      <c r="I228" s="1" t="s">
        <v>44</v>
      </c>
      <c r="J228" s="1" t="s">
        <v>19</v>
      </c>
      <c r="K228" s="1" t="s">
        <v>55</v>
      </c>
      <c r="L228" s="1" t="s">
        <v>47</v>
      </c>
      <c r="M228" s="1">
        <v>6</v>
      </c>
      <c r="N228" s="1">
        <v>577.88</v>
      </c>
      <c r="O228" s="1">
        <v>0</v>
      </c>
      <c r="P228" s="31" t="str">
        <f t="shared" si="16"/>
        <v>Normal</v>
      </c>
      <c r="Q228" s="1">
        <v>3467.28</v>
      </c>
      <c r="R228" s="27" t="str">
        <f t="shared" si="17"/>
        <v>Not</v>
      </c>
      <c r="S228" s="29" t="str">
        <f t="shared" si="18"/>
        <v>Average</v>
      </c>
      <c r="T228" s="33" t="str">
        <f t="shared" si="19"/>
        <v>Priority order</v>
      </c>
      <c r="V228" s="15"/>
    </row>
    <row r="229" spans="1:22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25" t="str">
        <f t="shared" si="15"/>
        <v>Online</v>
      </c>
      <c r="I229" s="1" t="s">
        <v>35</v>
      </c>
      <c r="J229" s="1" t="s">
        <v>57</v>
      </c>
      <c r="K229" s="1" t="s">
        <v>62</v>
      </c>
      <c r="L229" s="1" t="s">
        <v>21</v>
      </c>
      <c r="M229" s="1">
        <v>8</v>
      </c>
      <c r="N229" s="1">
        <v>2645.2</v>
      </c>
      <c r="O229" s="1">
        <v>20</v>
      </c>
      <c r="P229" s="31" t="str">
        <f t="shared" si="16"/>
        <v>Heavy</v>
      </c>
      <c r="Q229" s="1">
        <v>16929.28</v>
      </c>
      <c r="R229" s="27" t="str">
        <f t="shared" si="17"/>
        <v>Not</v>
      </c>
      <c r="S229" s="29" t="str">
        <f t="shared" si="18"/>
        <v>Excellent</v>
      </c>
      <c r="T229" s="33" t="str">
        <f t="shared" si="19"/>
        <v>Priority order</v>
      </c>
      <c r="V229" s="15"/>
    </row>
    <row r="230" spans="1:22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25" t="str">
        <f t="shared" si="15"/>
        <v>Marketplace</v>
      </c>
      <c r="I230" s="1" t="s">
        <v>44</v>
      </c>
      <c r="J230" s="1" t="s">
        <v>49</v>
      </c>
      <c r="K230" s="1" t="s">
        <v>68</v>
      </c>
      <c r="L230" s="1" t="s">
        <v>33</v>
      </c>
      <c r="M230" s="1">
        <v>8</v>
      </c>
      <c r="N230" s="1">
        <v>3519.2</v>
      </c>
      <c r="O230" s="1">
        <v>0</v>
      </c>
      <c r="P230" s="31" t="str">
        <f t="shared" si="16"/>
        <v>Normal</v>
      </c>
      <c r="Q230" s="1">
        <v>28153.599999999999</v>
      </c>
      <c r="R230" s="27" t="str">
        <f t="shared" si="17"/>
        <v>Eligible</v>
      </c>
      <c r="S230" s="29" t="str">
        <f t="shared" si="18"/>
        <v>Excellent</v>
      </c>
      <c r="T230" s="33" t="str">
        <f t="shared" si="19"/>
        <v>Priority order</v>
      </c>
      <c r="V230" s="15"/>
    </row>
    <row r="231" spans="1:22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25" t="str">
        <f t="shared" si="15"/>
        <v>Online</v>
      </c>
      <c r="I231" s="1" t="s">
        <v>35</v>
      </c>
      <c r="J231" s="1" t="s">
        <v>57</v>
      </c>
      <c r="K231" s="1" t="s">
        <v>62</v>
      </c>
      <c r="L231" s="1" t="s">
        <v>47</v>
      </c>
      <c r="M231" s="1">
        <v>3</v>
      </c>
      <c r="N231" s="1">
        <v>3193.5</v>
      </c>
      <c r="O231" s="1">
        <v>10</v>
      </c>
      <c r="P231" s="31" t="str">
        <f t="shared" si="16"/>
        <v>Heavy</v>
      </c>
      <c r="Q231" s="1">
        <v>8622.4500000000007</v>
      </c>
      <c r="R231" s="27" t="str">
        <f t="shared" si="17"/>
        <v>Not</v>
      </c>
      <c r="S231" s="29" t="str">
        <f t="shared" si="18"/>
        <v>Excellent</v>
      </c>
      <c r="T231" s="33" t="str">
        <f t="shared" si="19"/>
        <v>Priority order</v>
      </c>
      <c r="V231" s="15"/>
    </row>
    <row r="232" spans="1:22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25" t="str">
        <f t="shared" si="15"/>
        <v>Marketplace</v>
      </c>
      <c r="I232" s="1" t="s">
        <v>25</v>
      </c>
      <c r="J232" s="1" t="s">
        <v>26</v>
      </c>
      <c r="K232" s="1" t="s">
        <v>36</v>
      </c>
      <c r="L232" s="1" t="s">
        <v>47</v>
      </c>
      <c r="M232" s="1">
        <v>7</v>
      </c>
      <c r="N232" s="1">
        <v>693.26</v>
      </c>
      <c r="O232" s="1">
        <v>20</v>
      </c>
      <c r="P232" s="31" t="str">
        <f t="shared" si="16"/>
        <v>Heavy</v>
      </c>
      <c r="Q232" s="1">
        <v>3882.26</v>
      </c>
      <c r="R232" s="27" t="str">
        <f t="shared" si="17"/>
        <v>Not</v>
      </c>
      <c r="S232" s="29" t="str">
        <f t="shared" si="18"/>
        <v>Average</v>
      </c>
      <c r="T232" s="33" t="str">
        <f t="shared" si="19"/>
        <v>Priority order</v>
      </c>
      <c r="V232" s="15"/>
    </row>
    <row r="233" spans="1:22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25" t="str">
        <f t="shared" si="15"/>
        <v>Online</v>
      </c>
      <c r="I233" s="1" t="s">
        <v>18</v>
      </c>
      <c r="J233" s="1" t="s">
        <v>57</v>
      </c>
      <c r="K233" s="1" t="s">
        <v>59</v>
      </c>
      <c r="L233" s="1" t="s">
        <v>21</v>
      </c>
      <c r="M233" s="1">
        <v>1</v>
      </c>
      <c r="N233" s="1">
        <v>2250.4899999999998</v>
      </c>
      <c r="O233" s="1">
        <v>15</v>
      </c>
      <c r="P233" s="31" t="str">
        <f t="shared" si="16"/>
        <v>Heavy</v>
      </c>
      <c r="Q233" s="1">
        <v>1912.92</v>
      </c>
      <c r="R233" s="27" t="str">
        <f t="shared" si="17"/>
        <v>Not</v>
      </c>
      <c r="S233" s="29" t="str">
        <f t="shared" si="18"/>
        <v>Average</v>
      </c>
      <c r="T233" s="33" t="str">
        <f t="shared" si="19"/>
        <v xml:space="preserve">Normal </v>
      </c>
      <c r="V233" s="15"/>
    </row>
    <row r="234" spans="1:22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25" t="str">
        <f t="shared" si="15"/>
        <v>Online</v>
      </c>
      <c r="I234" s="1" t="s">
        <v>44</v>
      </c>
      <c r="J234" s="1" t="s">
        <v>19</v>
      </c>
      <c r="K234" s="1" t="s">
        <v>55</v>
      </c>
      <c r="L234" s="1" t="s">
        <v>47</v>
      </c>
      <c r="M234" s="1">
        <v>1</v>
      </c>
      <c r="N234" s="1">
        <v>556.53</v>
      </c>
      <c r="O234" s="1">
        <v>5</v>
      </c>
      <c r="P234" s="31" t="str">
        <f t="shared" si="16"/>
        <v>Heavy</v>
      </c>
      <c r="Q234" s="1">
        <v>528.70000000000005</v>
      </c>
      <c r="R234" s="27" t="str">
        <f t="shared" si="17"/>
        <v>Not</v>
      </c>
      <c r="S234" s="29" t="str">
        <f t="shared" si="18"/>
        <v>Average</v>
      </c>
      <c r="T234" s="33" t="str">
        <f t="shared" si="19"/>
        <v xml:space="preserve">Normal </v>
      </c>
      <c r="V234" s="15"/>
    </row>
    <row r="235" spans="1:22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25" t="str">
        <f t="shared" si="15"/>
        <v>Marketplace</v>
      </c>
      <c r="I235" s="1" t="s">
        <v>44</v>
      </c>
      <c r="J235" s="1" t="s">
        <v>31</v>
      </c>
      <c r="K235" s="1" t="s">
        <v>48</v>
      </c>
      <c r="L235" s="1" t="s">
        <v>33</v>
      </c>
      <c r="M235" s="1">
        <v>7</v>
      </c>
      <c r="N235" s="1">
        <v>324.38</v>
      </c>
      <c r="O235" s="1">
        <v>10</v>
      </c>
      <c r="P235" s="31" t="str">
        <f t="shared" si="16"/>
        <v>Heavy</v>
      </c>
      <c r="Q235" s="1">
        <v>2043.59</v>
      </c>
      <c r="R235" s="27" t="str">
        <f t="shared" si="17"/>
        <v>Not</v>
      </c>
      <c r="S235" s="29" t="str">
        <f t="shared" si="18"/>
        <v>Average</v>
      </c>
      <c r="T235" s="33" t="str">
        <f t="shared" si="19"/>
        <v>Priority order</v>
      </c>
      <c r="V235" s="15"/>
    </row>
    <row r="236" spans="1:22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25" t="str">
        <f t="shared" si="15"/>
        <v>Online</v>
      </c>
      <c r="I236" s="1" t="s">
        <v>35</v>
      </c>
      <c r="J236" s="1" t="s">
        <v>52</v>
      </c>
      <c r="K236" s="1" t="s">
        <v>60</v>
      </c>
      <c r="L236" s="1" t="s">
        <v>47</v>
      </c>
      <c r="M236" s="1">
        <v>9</v>
      </c>
      <c r="N236" s="1">
        <v>2677.09</v>
      </c>
      <c r="O236" s="1">
        <v>10</v>
      </c>
      <c r="P236" s="31" t="str">
        <f t="shared" si="16"/>
        <v>Heavy</v>
      </c>
      <c r="Q236" s="1">
        <v>21684.43</v>
      </c>
      <c r="R236" s="27" t="str">
        <f t="shared" si="17"/>
        <v>Not</v>
      </c>
      <c r="S236" s="29" t="str">
        <f t="shared" si="18"/>
        <v>Excellent</v>
      </c>
      <c r="T236" s="33" t="str">
        <f t="shared" si="19"/>
        <v>Priority order</v>
      </c>
      <c r="V236" s="15"/>
    </row>
    <row r="237" spans="1:22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25" t="str">
        <f t="shared" si="15"/>
        <v>Marketplace</v>
      </c>
      <c r="I237" s="1" t="s">
        <v>25</v>
      </c>
      <c r="J237" s="1" t="s">
        <v>52</v>
      </c>
      <c r="K237" s="1" t="s">
        <v>60</v>
      </c>
      <c r="L237" s="1" t="s">
        <v>33</v>
      </c>
      <c r="M237" s="1">
        <v>7</v>
      </c>
      <c r="N237" s="1">
        <v>2210.34</v>
      </c>
      <c r="O237" s="1">
        <v>5</v>
      </c>
      <c r="P237" s="31" t="str">
        <f t="shared" si="16"/>
        <v>Heavy</v>
      </c>
      <c r="Q237" s="1">
        <v>14698.76</v>
      </c>
      <c r="R237" s="27" t="str">
        <f t="shared" si="17"/>
        <v>Eligible</v>
      </c>
      <c r="S237" s="29" t="str">
        <f t="shared" si="18"/>
        <v>Excellent</v>
      </c>
      <c r="T237" s="33" t="str">
        <f t="shared" si="19"/>
        <v>Priority order</v>
      </c>
      <c r="V237" s="15"/>
    </row>
    <row r="238" spans="1:22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25" t="str">
        <f t="shared" si="15"/>
        <v>Online</v>
      </c>
      <c r="I238" s="1" t="s">
        <v>25</v>
      </c>
      <c r="J238" s="1" t="s">
        <v>19</v>
      </c>
      <c r="K238" s="1" t="s">
        <v>20</v>
      </c>
      <c r="L238" s="1" t="s">
        <v>21</v>
      </c>
      <c r="M238" s="1">
        <v>5</v>
      </c>
      <c r="N238" s="1">
        <v>465.79</v>
      </c>
      <c r="O238" s="1">
        <v>5</v>
      </c>
      <c r="P238" s="31" t="str">
        <f t="shared" si="16"/>
        <v>Heavy</v>
      </c>
      <c r="Q238" s="1">
        <v>2212.5</v>
      </c>
      <c r="R238" s="27" t="str">
        <f t="shared" si="17"/>
        <v>Not</v>
      </c>
      <c r="S238" s="29" t="str">
        <f t="shared" si="18"/>
        <v>Average</v>
      </c>
      <c r="T238" s="33" t="str">
        <f t="shared" si="19"/>
        <v xml:space="preserve">Normal </v>
      </c>
      <c r="V238" s="15"/>
    </row>
    <row r="239" spans="1:22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25" t="str">
        <f t="shared" si="15"/>
        <v>Online</v>
      </c>
      <c r="I239" s="1" t="s">
        <v>35</v>
      </c>
      <c r="J239" s="1" t="s">
        <v>57</v>
      </c>
      <c r="K239" s="1" t="s">
        <v>62</v>
      </c>
      <c r="L239" s="1" t="s">
        <v>45</v>
      </c>
      <c r="M239" s="1">
        <v>8</v>
      </c>
      <c r="N239" s="1">
        <v>284.52</v>
      </c>
      <c r="O239" s="1">
        <v>15</v>
      </c>
      <c r="P239" s="31" t="str">
        <f t="shared" si="16"/>
        <v>Heavy</v>
      </c>
      <c r="Q239" s="1">
        <v>1934.74</v>
      </c>
      <c r="R239" s="27" t="str">
        <f t="shared" si="17"/>
        <v>Not</v>
      </c>
      <c r="S239" s="29" t="str">
        <f t="shared" si="18"/>
        <v>Average</v>
      </c>
      <c r="T239" s="33" t="str">
        <f t="shared" si="19"/>
        <v>Priority order</v>
      </c>
      <c r="V239" s="15"/>
    </row>
    <row r="240" spans="1:22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25" t="str">
        <f t="shared" si="15"/>
        <v>Online</v>
      </c>
      <c r="I240" s="1" t="s">
        <v>25</v>
      </c>
      <c r="J240" s="1" t="s">
        <v>49</v>
      </c>
      <c r="K240" s="1" t="s">
        <v>63</v>
      </c>
      <c r="L240" s="1" t="s">
        <v>47</v>
      </c>
      <c r="M240" s="1">
        <v>2</v>
      </c>
      <c r="N240" s="1">
        <v>3960.56</v>
      </c>
      <c r="O240" s="1">
        <v>10</v>
      </c>
      <c r="P240" s="31" t="str">
        <f t="shared" si="16"/>
        <v>Heavy</v>
      </c>
      <c r="Q240" s="1">
        <v>7129.01</v>
      </c>
      <c r="R240" s="27" t="str">
        <f t="shared" si="17"/>
        <v>Not</v>
      </c>
      <c r="S240" s="29" t="str">
        <f t="shared" si="18"/>
        <v>Excellent</v>
      </c>
      <c r="T240" s="33" t="str">
        <f t="shared" si="19"/>
        <v>Priority order</v>
      </c>
      <c r="V240" s="15"/>
    </row>
    <row r="241" spans="1:22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25" t="str">
        <f t="shared" si="15"/>
        <v>Online</v>
      </c>
      <c r="I241" s="1" t="s">
        <v>42</v>
      </c>
      <c r="J241" s="1" t="s">
        <v>57</v>
      </c>
      <c r="K241" s="1" t="s">
        <v>67</v>
      </c>
      <c r="L241" s="1" t="s">
        <v>45</v>
      </c>
      <c r="M241" s="1">
        <v>9</v>
      </c>
      <c r="N241" s="1">
        <v>265.58</v>
      </c>
      <c r="O241" s="1">
        <v>10</v>
      </c>
      <c r="P241" s="31" t="str">
        <f t="shared" si="16"/>
        <v>Heavy</v>
      </c>
      <c r="Q241" s="1">
        <v>2151.1999999999998</v>
      </c>
      <c r="R241" s="27" t="str">
        <f t="shared" si="17"/>
        <v>Not</v>
      </c>
      <c r="S241" s="29" t="str">
        <f t="shared" si="18"/>
        <v>Average</v>
      </c>
      <c r="T241" s="33" t="str">
        <f t="shared" si="19"/>
        <v>Priority order</v>
      </c>
      <c r="V241" s="15"/>
    </row>
    <row r="242" spans="1:22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25" t="str">
        <f t="shared" si="15"/>
        <v>Marketplace</v>
      </c>
      <c r="I242" s="1" t="s">
        <v>18</v>
      </c>
      <c r="J242" s="1" t="s">
        <v>19</v>
      </c>
      <c r="K242" s="1" t="s">
        <v>66</v>
      </c>
      <c r="L242" s="1" t="s">
        <v>33</v>
      </c>
      <c r="M242" s="1">
        <v>6</v>
      </c>
      <c r="N242" s="1">
        <v>1861.43</v>
      </c>
      <c r="O242" s="1">
        <v>0</v>
      </c>
      <c r="P242" s="31" t="str">
        <f t="shared" si="16"/>
        <v>Normal</v>
      </c>
      <c r="Q242" s="1">
        <v>11168.58</v>
      </c>
      <c r="R242" s="27" t="str">
        <f t="shared" si="17"/>
        <v>Eligible</v>
      </c>
      <c r="S242" s="29" t="str">
        <f t="shared" si="18"/>
        <v>Excellent</v>
      </c>
      <c r="T242" s="33" t="str">
        <f t="shared" si="19"/>
        <v>Priority order</v>
      </c>
      <c r="V242" s="15"/>
    </row>
    <row r="243" spans="1:22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25" t="str">
        <f t="shared" si="15"/>
        <v>Online</v>
      </c>
      <c r="I243" s="1" t="s">
        <v>44</v>
      </c>
      <c r="J243" s="1" t="s">
        <v>52</v>
      </c>
      <c r="K243" s="1" t="s">
        <v>64</v>
      </c>
      <c r="L243" s="1" t="s">
        <v>47</v>
      </c>
      <c r="M243" s="1">
        <v>9</v>
      </c>
      <c r="N243" s="1">
        <v>2092.7800000000002</v>
      </c>
      <c r="O243" s="1">
        <v>20</v>
      </c>
      <c r="P243" s="31" t="str">
        <f t="shared" si="16"/>
        <v>Heavy</v>
      </c>
      <c r="Q243" s="1">
        <v>15068.02</v>
      </c>
      <c r="R243" s="27" t="str">
        <f t="shared" si="17"/>
        <v>Not</v>
      </c>
      <c r="S243" s="29" t="str">
        <f t="shared" si="18"/>
        <v>Excellent</v>
      </c>
      <c r="T243" s="33" t="str">
        <f t="shared" si="19"/>
        <v>Priority order</v>
      </c>
      <c r="V243" s="15"/>
    </row>
    <row r="244" spans="1:22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25" t="str">
        <f t="shared" si="15"/>
        <v>Marketplace</v>
      </c>
      <c r="I244" s="1" t="s">
        <v>18</v>
      </c>
      <c r="J244" s="1" t="s">
        <v>57</v>
      </c>
      <c r="K244" s="1" t="s">
        <v>59</v>
      </c>
      <c r="L244" s="1" t="s">
        <v>28</v>
      </c>
      <c r="M244" s="1">
        <v>2</v>
      </c>
      <c r="N244" s="1">
        <v>601.53</v>
      </c>
      <c r="O244" s="1">
        <v>20</v>
      </c>
      <c r="P244" s="31" t="str">
        <f t="shared" si="16"/>
        <v>Heavy</v>
      </c>
      <c r="Q244" s="1">
        <v>962.45</v>
      </c>
      <c r="R244" s="27" t="str">
        <f t="shared" si="17"/>
        <v>Not</v>
      </c>
      <c r="S244" s="29" t="str">
        <f t="shared" si="18"/>
        <v>Average</v>
      </c>
      <c r="T244" s="33" t="str">
        <f t="shared" si="19"/>
        <v xml:space="preserve">Normal </v>
      </c>
      <c r="V244" s="15"/>
    </row>
    <row r="245" spans="1:22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25" t="str">
        <f t="shared" si="15"/>
        <v>Online</v>
      </c>
      <c r="I245" s="1" t="s">
        <v>44</v>
      </c>
      <c r="J245" s="1" t="s">
        <v>52</v>
      </c>
      <c r="K245" s="1" t="s">
        <v>53</v>
      </c>
      <c r="L245" s="1" t="s">
        <v>45</v>
      </c>
      <c r="M245" s="1">
        <v>3</v>
      </c>
      <c r="N245" s="1">
        <v>800.89</v>
      </c>
      <c r="O245" s="1">
        <v>0</v>
      </c>
      <c r="P245" s="31" t="str">
        <f t="shared" si="16"/>
        <v>Normal</v>
      </c>
      <c r="Q245" s="1">
        <v>2402.67</v>
      </c>
      <c r="R245" s="27" t="str">
        <f t="shared" si="17"/>
        <v>Not</v>
      </c>
      <c r="S245" s="29" t="str">
        <f t="shared" si="18"/>
        <v>Average</v>
      </c>
      <c r="T245" s="33" t="str">
        <f t="shared" si="19"/>
        <v xml:space="preserve">Normal </v>
      </c>
      <c r="V245" s="15"/>
    </row>
    <row r="246" spans="1:22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25" t="str">
        <f t="shared" si="15"/>
        <v>Marketplace</v>
      </c>
      <c r="I246" s="1" t="s">
        <v>42</v>
      </c>
      <c r="J246" s="1" t="s">
        <v>49</v>
      </c>
      <c r="K246" s="1" t="s">
        <v>51</v>
      </c>
      <c r="L246" s="1" t="s">
        <v>47</v>
      </c>
      <c r="M246" s="1">
        <v>8</v>
      </c>
      <c r="N246" s="1">
        <v>1504.45</v>
      </c>
      <c r="O246" s="1">
        <v>20</v>
      </c>
      <c r="P246" s="31" t="str">
        <f t="shared" si="16"/>
        <v>Heavy</v>
      </c>
      <c r="Q246" s="1">
        <v>9628.48</v>
      </c>
      <c r="R246" s="27" t="str">
        <f t="shared" si="17"/>
        <v>Not</v>
      </c>
      <c r="S246" s="29" t="str">
        <f t="shared" si="18"/>
        <v>Excellent</v>
      </c>
      <c r="T246" s="33" t="str">
        <f t="shared" si="19"/>
        <v>Priority order</v>
      </c>
      <c r="V246" s="15"/>
    </row>
    <row r="247" spans="1:22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25" t="str">
        <f t="shared" si="15"/>
        <v>Online</v>
      </c>
      <c r="I247" s="1" t="s">
        <v>25</v>
      </c>
      <c r="J247" s="1" t="s">
        <v>52</v>
      </c>
      <c r="K247" s="1" t="s">
        <v>53</v>
      </c>
      <c r="L247" s="1" t="s">
        <v>45</v>
      </c>
      <c r="M247" s="1">
        <v>1</v>
      </c>
      <c r="N247" s="1">
        <v>3082.45</v>
      </c>
      <c r="O247" s="1">
        <v>5</v>
      </c>
      <c r="P247" s="31" t="str">
        <f t="shared" si="16"/>
        <v>Heavy</v>
      </c>
      <c r="Q247" s="1">
        <v>2928.33</v>
      </c>
      <c r="R247" s="27" t="str">
        <f t="shared" si="17"/>
        <v>Not</v>
      </c>
      <c r="S247" s="29" t="str">
        <f t="shared" si="18"/>
        <v>Average</v>
      </c>
      <c r="T247" s="33" t="str">
        <f t="shared" si="19"/>
        <v xml:space="preserve">Normal </v>
      </c>
      <c r="V247" s="15"/>
    </row>
    <row r="248" spans="1:22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25" t="str">
        <f t="shared" si="15"/>
        <v>Marketplace</v>
      </c>
      <c r="I248" s="1" t="s">
        <v>35</v>
      </c>
      <c r="J248" s="1" t="s">
        <v>52</v>
      </c>
      <c r="K248" s="1" t="s">
        <v>64</v>
      </c>
      <c r="L248" s="1" t="s">
        <v>47</v>
      </c>
      <c r="M248" s="1">
        <v>7</v>
      </c>
      <c r="N248" s="1">
        <v>2102.27</v>
      </c>
      <c r="O248" s="1">
        <v>20</v>
      </c>
      <c r="P248" s="31" t="str">
        <f t="shared" si="16"/>
        <v>Heavy</v>
      </c>
      <c r="Q248" s="1">
        <v>11772.71</v>
      </c>
      <c r="R248" s="27" t="str">
        <f t="shared" si="17"/>
        <v>Not</v>
      </c>
      <c r="S248" s="29" t="str">
        <f t="shared" si="18"/>
        <v>Excellent</v>
      </c>
      <c r="T248" s="33" t="str">
        <f t="shared" si="19"/>
        <v>Priority order</v>
      </c>
      <c r="V248" s="15"/>
    </row>
    <row r="249" spans="1:22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25" t="str">
        <f t="shared" si="15"/>
        <v>Marketplace</v>
      </c>
      <c r="I249" s="1" t="s">
        <v>42</v>
      </c>
      <c r="J249" s="1" t="s">
        <v>31</v>
      </c>
      <c r="K249" s="1" t="s">
        <v>39</v>
      </c>
      <c r="L249" s="1" t="s">
        <v>21</v>
      </c>
      <c r="M249" s="1">
        <v>7</v>
      </c>
      <c r="N249" s="1">
        <v>2605.92</v>
      </c>
      <c r="O249" s="1">
        <v>20</v>
      </c>
      <c r="P249" s="31" t="str">
        <f t="shared" si="16"/>
        <v>Heavy</v>
      </c>
      <c r="Q249" s="1">
        <v>14593.15</v>
      </c>
      <c r="R249" s="27" t="str">
        <f t="shared" si="17"/>
        <v>Not</v>
      </c>
      <c r="S249" s="29" t="str">
        <f t="shared" si="18"/>
        <v>Excellent</v>
      </c>
      <c r="T249" s="33" t="str">
        <f t="shared" si="19"/>
        <v>Priority order</v>
      </c>
      <c r="V249" s="15"/>
    </row>
    <row r="250" spans="1:22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25" t="str">
        <f t="shared" si="15"/>
        <v>Online</v>
      </c>
      <c r="I250" s="1" t="s">
        <v>18</v>
      </c>
      <c r="J250" s="1" t="s">
        <v>31</v>
      </c>
      <c r="K250" s="1" t="s">
        <v>65</v>
      </c>
      <c r="L250" s="1" t="s">
        <v>45</v>
      </c>
      <c r="M250" s="1">
        <v>1</v>
      </c>
      <c r="N250" s="1">
        <v>3942.92</v>
      </c>
      <c r="O250" s="1">
        <v>0</v>
      </c>
      <c r="P250" s="31" t="str">
        <f t="shared" si="16"/>
        <v>Normal</v>
      </c>
      <c r="Q250" s="1">
        <v>3942.92</v>
      </c>
      <c r="R250" s="27" t="str">
        <f t="shared" si="17"/>
        <v>Not</v>
      </c>
      <c r="S250" s="29" t="str">
        <f t="shared" si="18"/>
        <v>Average</v>
      </c>
      <c r="T250" s="33" t="str">
        <f t="shared" si="19"/>
        <v xml:space="preserve">Normal </v>
      </c>
      <c r="V250" s="15"/>
    </row>
    <row r="251" spans="1:22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25" t="str">
        <f t="shared" si="15"/>
        <v>Online</v>
      </c>
      <c r="I251" s="1" t="s">
        <v>35</v>
      </c>
      <c r="J251" s="1" t="s">
        <v>26</v>
      </c>
      <c r="K251" s="1" t="s">
        <v>69</v>
      </c>
      <c r="L251" s="1" t="s">
        <v>28</v>
      </c>
      <c r="M251" s="1">
        <v>9</v>
      </c>
      <c r="N251" s="1">
        <v>3106.82</v>
      </c>
      <c r="O251" s="1">
        <v>15</v>
      </c>
      <c r="P251" s="31" t="str">
        <f t="shared" si="16"/>
        <v>Heavy</v>
      </c>
      <c r="Q251" s="1">
        <v>23767.17</v>
      </c>
      <c r="R251" s="27" t="str">
        <f t="shared" si="17"/>
        <v>Not</v>
      </c>
      <c r="S251" s="29" t="str">
        <f t="shared" si="18"/>
        <v>Excellent</v>
      </c>
      <c r="T251" s="33" t="str">
        <f t="shared" si="19"/>
        <v>Priority order</v>
      </c>
      <c r="V251" s="15"/>
    </row>
    <row r="252" spans="1:22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25" t="str">
        <f t="shared" si="15"/>
        <v>Online</v>
      </c>
      <c r="I252" s="1" t="s">
        <v>25</v>
      </c>
      <c r="J252" s="1" t="s">
        <v>31</v>
      </c>
      <c r="K252" s="1" t="s">
        <v>48</v>
      </c>
      <c r="L252" s="1" t="s">
        <v>28</v>
      </c>
      <c r="M252" s="1">
        <v>8</v>
      </c>
      <c r="N252" s="1">
        <v>1822.29</v>
      </c>
      <c r="O252" s="1">
        <v>20</v>
      </c>
      <c r="P252" s="31" t="str">
        <f t="shared" si="16"/>
        <v>Heavy</v>
      </c>
      <c r="Q252" s="1">
        <v>11662.66</v>
      </c>
      <c r="R252" s="27" t="str">
        <f t="shared" si="17"/>
        <v>Not</v>
      </c>
      <c r="S252" s="29" t="str">
        <f t="shared" si="18"/>
        <v>Excellent</v>
      </c>
      <c r="T252" s="33" t="str">
        <f t="shared" si="19"/>
        <v>Priority order</v>
      </c>
      <c r="V252" s="15"/>
    </row>
    <row r="253" spans="1:22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25" t="str">
        <f t="shared" si="15"/>
        <v>Online</v>
      </c>
      <c r="I253" s="1" t="s">
        <v>42</v>
      </c>
      <c r="J253" s="1" t="s">
        <v>52</v>
      </c>
      <c r="K253" s="1" t="s">
        <v>60</v>
      </c>
      <c r="L253" s="1" t="s">
        <v>33</v>
      </c>
      <c r="M253" s="1">
        <v>4</v>
      </c>
      <c r="N253" s="1">
        <v>1868.8</v>
      </c>
      <c r="O253" s="1">
        <v>20</v>
      </c>
      <c r="P253" s="31" t="str">
        <f t="shared" si="16"/>
        <v>Heavy</v>
      </c>
      <c r="Q253" s="1">
        <v>5980.16</v>
      </c>
      <c r="R253" s="27" t="str">
        <f t="shared" si="17"/>
        <v>Not</v>
      </c>
      <c r="S253" s="29" t="str">
        <f t="shared" si="18"/>
        <v>Good</v>
      </c>
      <c r="T253" s="33" t="str">
        <f t="shared" si="19"/>
        <v xml:space="preserve">Normal </v>
      </c>
      <c r="V253" s="15"/>
    </row>
    <row r="254" spans="1:22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25" t="str">
        <f t="shared" si="15"/>
        <v>Online</v>
      </c>
      <c r="I254" s="1" t="s">
        <v>35</v>
      </c>
      <c r="J254" s="1" t="s">
        <v>19</v>
      </c>
      <c r="K254" s="1" t="s">
        <v>20</v>
      </c>
      <c r="L254" s="1" t="s">
        <v>47</v>
      </c>
      <c r="M254" s="1">
        <v>5</v>
      </c>
      <c r="N254" s="1">
        <v>2532.27</v>
      </c>
      <c r="O254" s="1">
        <v>15</v>
      </c>
      <c r="P254" s="31" t="str">
        <f t="shared" si="16"/>
        <v>Heavy</v>
      </c>
      <c r="Q254" s="1">
        <v>10762.15</v>
      </c>
      <c r="R254" s="27" t="str">
        <f t="shared" si="17"/>
        <v>Not</v>
      </c>
      <c r="S254" s="29" t="str">
        <f t="shared" si="18"/>
        <v>Excellent</v>
      </c>
      <c r="T254" s="33" t="str">
        <f t="shared" si="19"/>
        <v>Priority order</v>
      </c>
      <c r="V254" s="15"/>
    </row>
    <row r="255" spans="1:22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25" t="str">
        <f t="shared" si="15"/>
        <v>Online</v>
      </c>
      <c r="I255" s="1" t="s">
        <v>42</v>
      </c>
      <c r="J255" s="1" t="s">
        <v>52</v>
      </c>
      <c r="K255" s="1" t="s">
        <v>64</v>
      </c>
      <c r="L255" s="1" t="s">
        <v>45</v>
      </c>
      <c r="M255" s="1">
        <v>2</v>
      </c>
      <c r="N255" s="1">
        <v>2711.66</v>
      </c>
      <c r="O255" s="1">
        <v>0</v>
      </c>
      <c r="P255" s="31" t="str">
        <f t="shared" si="16"/>
        <v>Normal</v>
      </c>
      <c r="Q255" s="1">
        <v>5423.32</v>
      </c>
      <c r="R255" s="27" t="str">
        <f t="shared" si="17"/>
        <v>Eligible</v>
      </c>
      <c r="S255" s="29" t="str">
        <f t="shared" si="18"/>
        <v>Good</v>
      </c>
      <c r="T255" s="33" t="str">
        <f t="shared" si="19"/>
        <v xml:space="preserve">Normal </v>
      </c>
      <c r="V255" s="15"/>
    </row>
    <row r="256" spans="1:22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25" t="str">
        <f t="shared" si="15"/>
        <v>Online</v>
      </c>
      <c r="I256" s="1" t="s">
        <v>42</v>
      </c>
      <c r="J256" s="1" t="s">
        <v>19</v>
      </c>
      <c r="K256" s="1" t="s">
        <v>20</v>
      </c>
      <c r="L256" s="1" t="s">
        <v>33</v>
      </c>
      <c r="M256" s="1">
        <v>9</v>
      </c>
      <c r="N256" s="1">
        <v>2077.7399999999998</v>
      </c>
      <c r="O256" s="1">
        <v>15</v>
      </c>
      <c r="P256" s="31" t="str">
        <f t="shared" si="16"/>
        <v>Heavy</v>
      </c>
      <c r="Q256" s="1">
        <v>15894.71</v>
      </c>
      <c r="R256" s="27" t="str">
        <f t="shared" si="17"/>
        <v>Not</v>
      </c>
      <c r="S256" s="29" t="str">
        <f t="shared" si="18"/>
        <v>Excellent</v>
      </c>
      <c r="T256" s="33" t="str">
        <f t="shared" si="19"/>
        <v>Priority order</v>
      </c>
      <c r="V256" s="15"/>
    </row>
    <row r="257" spans="1:22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25" t="str">
        <f t="shared" si="15"/>
        <v>Online</v>
      </c>
      <c r="I257" s="1" t="s">
        <v>25</v>
      </c>
      <c r="J257" s="1" t="s">
        <v>19</v>
      </c>
      <c r="K257" s="1" t="s">
        <v>20</v>
      </c>
      <c r="L257" s="1" t="s">
        <v>45</v>
      </c>
      <c r="M257" s="1">
        <v>6</v>
      </c>
      <c r="N257" s="1">
        <v>2632.72</v>
      </c>
      <c r="O257" s="1">
        <v>0</v>
      </c>
      <c r="P257" s="31" t="str">
        <f t="shared" si="16"/>
        <v>Normal</v>
      </c>
      <c r="Q257" s="1">
        <v>15796.32</v>
      </c>
      <c r="R257" s="27" t="str">
        <f t="shared" si="17"/>
        <v>Eligible</v>
      </c>
      <c r="S257" s="29" t="str">
        <f t="shared" si="18"/>
        <v>Excellent</v>
      </c>
      <c r="T257" s="33" t="str">
        <f t="shared" si="19"/>
        <v>Priority order</v>
      </c>
      <c r="V257" s="15"/>
    </row>
    <row r="258" spans="1:22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25" t="str">
        <f t="shared" si="15"/>
        <v>Online</v>
      </c>
      <c r="I258" s="1" t="s">
        <v>44</v>
      </c>
      <c r="J258" s="1" t="s">
        <v>31</v>
      </c>
      <c r="K258" s="1" t="s">
        <v>32</v>
      </c>
      <c r="L258" s="1" t="s">
        <v>47</v>
      </c>
      <c r="M258" s="1">
        <v>3</v>
      </c>
      <c r="N258" s="1">
        <v>240.6</v>
      </c>
      <c r="O258" s="1">
        <v>5</v>
      </c>
      <c r="P258" s="31" t="str">
        <f t="shared" si="16"/>
        <v>Heavy</v>
      </c>
      <c r="Q258" s="1">
        <v>685.71</v>
      </c>
      <c r="R258" s="27" t="str">
        <f t="shared" si="17"/>
        <v>Not</v>
      </c>
      <c r="S258" s="29" t="str">
        <f t="shared" si="18"/>
        <v>Average</v>
      </c>
      <c r="T258" s="33" t="str">
        <f t="shared" si="19"/>
        <v xml:space="preserve">Normal </v>
      </c>
      <c r="V258" s="15"/>
    </row>
    <row r="259" spans="1:22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25" t="str">
        <f t="shared" ref="H259:H322" si="20">IF(G259:G758&lt;&gt; "Marketplace","Online","Marketplace")</f>
        <v>Online</v>
      </c>
      <c r="I259" s="1" t="s">
        <v>35</v>
      </c>
      <c r="J259" s="1" t="s">
        <v>57</v>
      </c>
      <c r="K259" s="1" t="s">
        <v>59</v>
      </c>
      <c r="L259" s="1" t="s">
        <v>28</v>
      </c>
      <c r="M259" s="1">
        <v>7</v>
      </c>
      <c r="N259" s="1">
        <v>1804.05</v>
      </c>
      <c r="O259" s="1">
        <v>0</v>
      </c>
      <c r="P259" s="31" t="str">
        <f t="shared" ref="P259:P322" si="21">IF(O259&gt;10%,"Heavy","Normal")</f>
        <v>Normal</v>
      </c>
      <c r="Q259" s="1">
        <v>12628.35</v>
      </c>
      <c r="R259" s="27" t="str">
        <f t="shared" ref="R259:R322" si="22">IF(AND($Q$2:$Q$501 &gt; 5000, $O$2:$O$501&lt;10),"Eligible","Not")</f>
        <v>Eligible</v>
      </c>
      <c r="S259" s="29" t="str">
        <f t="shared" ref="S259:S322" si="23">IF(Q259&gt;=7000,"Excellent",(IF(Q259&gt;=4000,"Good","Average")))</f>
        <v>Excellent</v>
      </c>
      <c r="T259" s="33" t="str">
        <f t="shared" ref="T259:T322" si="24">IF(OR(Q259&gt;7000,M259&gt;5),"Priority order","Normal ")</f>
        <v>Priority order</v>
      </c>
      <c r="V259" s="15"/>
    </row>
    <row r="260" spans="1:22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25" t="str">
        <f t="shared" si="20"/>
        <v>Online</v>
      </c>
      <c r="I260" s="1" t="s">
        <v>25</v>
      </c>
      <c r="J260" s="1" t="s">
        <v>49</v>
      </c>
      <c r="K260" s="1" t="s">
        <v>51</v>
      </c>
      <c r="L260" s="1" t="s">
        <v>21</v>
      </c>
      <c r="M260" s="1">
        <v>9</v>
      </c>
      <c r="N260" s="1">
        <v>1223.9100000000001</v>
      </c>
      <c r="O260" s="1">
        <v>5</v>
      </c>
      <c r="P260" s="31" t="str">
        <f t="shared" si="21"/>
        <v>Heavy</v>
      </c>
      <c r="Q260" s="1">
        <v>10464.43</v>
      </c>
      <c r="R260" s="27" t="str">
        <f t="shared" si="22"/>
        <v>Eligible</v>
      </c>
      <c r="S260" s="29" t="str">
        <f t="shared" si="23"/>
        <v>Excellent</v>
      </c>
      <c r="T260" s="33" t="str">
        <f t="shared" si="24"/>
        <v>Priority order</v>
      </c>
      <c r="V260" s="15"/>
    </row>
    <row r="261" spans="1:22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25" t="str">
        <f t="shared" si="20"/>
        <v>Online</v>
      </c>
      <c r="I261" s="1" t="s">
        <v>42</v>
      </c>
      <c r="J261" s="1" t="s">
        <v>31</v>
      </c>
      <c r="K261" s="1" t="s">
        <v>65</v>
      </c>
      <c r="L261" s="1" t="s">
        <v>28</v>
      </c>
      <c r="M261" s="1">
        <v>3</v>
      </c>
      <c r="N261" s="1">
        <v>647.32000000000005</v>
      </c>
      <c r="O261" s="1">
        <v>5</v>
      </c>
      <c r="P261" s="31" t="str">
        <f t="shared" si="21"/>
        <v>Heavy</v>
      </c>
      <c r="Q261" s="1">
        <v>1844.86</v>
      </c>
      <c r="R261" s="27" t="str">
        <f t="shared" si="22"/>
        <v>Not</v>
      </c>
      <c r="S261" s="29" t="str">
        <f t="shared" si="23"/>
        <v>Average</v>
      </c>
      <c r="T261" s="33" t="str">
        <f t="shared" si="24"/>
        <v xml:space="preserve">Normal </v>
      </c>
      <c r="V261" s="15"/>
    </row>
    <row r="262" spans="1:22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25" t="str">
        <f t="shared" si="20"/>
        <v>Online</v>
      </c>
      <c r="I262" s="1" t="s">
        <v>25</v>
      </c>
      <c r="J262" s="1" t="s">
        <v>31</v>
      </c>
      <c r="K262" s="1" t="s">
        <v>32</v>
      </c>
      <c r="L262" s="1" t="s">
        <v>33</v>
      </c>
      <c r="M262" s="1">
        <v>2</v>
      </c>
      <c r="N262" s="1">
        <v>533.25</v>
      </c>
      <c r="O262" s="1">
        <v>0</v>
      </c>
      <c r="P262" s="31" t="str">
        <f t="shared" si="21"/>
        <v>Normal</v>
      </c>
      <c r="Q262" s="1">
        <v>1066.5</v>
      </c>
      <c r="R262" s="27" t="str">
        <f t="shared" si="22"/>
        <v>Not</v>
      </c>
      <c r="S262" s="29" t="str">
        <f t="shared" si="23"/>
        <v>Average</v>
      </c>
      <c r="T262" s="33" t="str">
        <f t="shared" si="24"/>
        <v xml:space="preserve">Normal </v>
      </c>
      <c r="V262" s="15"/>
    </row>
    <row r="263" spans="1:22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25" t="str">
        <f t="shared" si="20"/>
        <v>Online</v>
      </c>
      <c r="I263" s="1" t="s">
        <v>44</v>
      </c>
      <c r="J263" s="1" t="s">
        <v>57</v>
      </c>
      <c r="K263" s="1" t="s">
        <v>59</v>
      </c>
      <c r="L263" s="1" t="s">
        <v>21</v>
      </c>
      <c r="M263" s="1">
        <v>7</v>
      </c>
      <c r="N263" s="1">
        <v>2472.29</v>
      </c>
      <c r="O263" s="1">
        <v>10</v>
      </c>
      <c r="P263" s="31" t="str">
        <f t="shared" si="21"/>
        <v>Heavy</v>
      </c>
      <c r="Q263" s="1">
        <v>15575.43</v>
      </c>
      <c r="R263" s="27" t="str">
        <f t="shared" si="22"/>
        <v>Not</v>
      </c>
      <c r="S263" s="29" t="str">
        <f t="shared" si="23"/>
        <v>Excellent</v>
      </c>
      <c r="T263" s="33" t="str">
        <f t="shared" si="24"/>
        <v>Priority order</v>
      </c>
      <c r="V263" s="15"/>
    </row>
    <row r="264" spans="1:22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25" t="str">
        <f t="shared" si="20"/>
        <v>Marketplace</v>
      </c>
      <c r="I264" s="1" t="s">
        <v>35</v>
      </c>
      <c r="J264" s="1" t="s">
        <v>49</v>
      </c>
      <c r="K264" s="1" t="s">
        <v>63</v>
      </c>
      <c r="L264" s="1" t="s">
        <v>33</v>
      </c>
      <c r="M264" s="1">
        <v>7</v>
      </c>
      <c r="N264" s="1">
        <v>2165.86</v>
      </c>
      <c r="O264" s="1">
        <v>0</v>
      </c>
      <c r="P264" s="31" t="str">
        <f t="shared" si="21"/>
        <v>Normal</v>
      </c>
      <c r="Q264" s="1">
        <v>15161.02</v>
      </c>
      <c r="R264" s="27" t="str">
        <f t="shared" si="22"/>
        <v>Eligible</v>
      </c>
      <c r="S264" s="29" t="str">
        <f t="shared" si="23"/>
        <v>Excellent</v>
      </c>
      <c r="T264" s="33" t="str">
        <f t="shared" si="24"/>
        <v>Priority order</v>
      </c>
      <c r="V264" s="15"/>
    </row>
    <row r="265" spans="1:22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25" t="str">
        <f t="shared" si="20"/>
        <v>Marketplace</v>
      </c>
      <c r="I265" s="1" t="s">
        <v>44</v>
      </c>
      <c r="J265" s="1" t="s">
        <v>52</v>
      </c>
      <c r="K265" s="1" t="s">
        <v>60</v>
      </c>
      <c r="L265" s="1" t="s">
        <v>47</v>
      </c>
      <c r="M265" s="1">
        <v>4</v>
      </c>
      <c r="N265" s="1">
        <v>1126.3</v>
      </c>
      <c r="O265" s="1">
        <v>20</v>
      </c>
      <c r="P265" s="31" t="str">
        <f t="shared" si="21"/>
        <v>Heavy</v>
      </c>
      <c r="Q265" s="1">
        <v>3604.16</v>
      </c>
      <c r="R265" s="27" t="str">
        <f t="shared" si="22"/>
        <v>Not</v>
      </c>
      <c r="S265" s="29" t="str">
        <f t="shared" si="23"/>
        <v>Average</v>
      </c>
      <c r="T265" s="33" t="str">
        <f t="shared" si="24"/>
        <v xml:space="preserve">Normal </v>
      </c>
      <c r="V265" s="15"/>
    </row>
    <row r="266" spans="1:22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25" t="str">
        <f t="shared" si="20"/>
        <v>Online</v>
      </c>
      <c r="I266" s="1" t="s">
        <v>18</v>
      </c>
      <c r="J266" s="1" t="s">
        <v>26</v>
      </c>
      <c r="K266" s="1" t="s">
        <v>61</v>
      </c>
      <c r="L266" s="1" t="s">
        <v>21</v>
      </c>
      <c r="M266" s="1">
        <v>9</v>
      </c>
      <c r="N266" s="1">
        <v>1963.16</v>
      </c>
      <c r="O266" s="1">
        <v>20</v>
      </c>
      <c r="P266" s="31" t="str">
        <f t="shared" si="21"/>
        <v>Heavy</v>
      </c>
      <c r="Q266" s="1">
        <v>14134.75</v>
      </c>
      <c r="R266" s="27" t="str">
        <f t="shared" si="22"/>
        <v>Not</v>
      </c>
      <c r="S266" s="29" t="str">
        <f t="shared" si="23"/>
        <v>Excellent</v>
      </c>
      <c r="T266" s="33" t="str">
        <f t="shared" si="24"/>
        <v>Priority order</v>
      </c>
      <c r="V266" s="15"/>
    </row>
    <row r="267" spans="1:22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25" t="str">
        <f t="shared" si="20"/>
        <v>Marketplace</v>
      </c>
      <c r="I267" s="1" t="s">
        <v>35</v>
      </c>
      <c r="J267" s="1" t="s">
        <v>26</v>
      </c>
      <c r="K267" s="1" t="s">
        <v>61</v>
      </c>
      <c r="L267" s="1" t="s">
        <v>33</v>
      </c>
      <c r="M267" s="1">
        <v>8</v>
      </c>
      <c r="N267" s="1">
        <v>2045.09</v>
      </c>
      <c r="O267" s="1">
        <v>10</v>
      </c>
      <c r="P267" s="31" t="str">
        <f t="shared" si="21"/>
        <v>Heavy</v>
      </c>
      <c r="Q267" s="1">
        <v>14724.65</v>
      </c>
      <c r="R267" s="27" t="str">
        <f t="shared" si="22"/>
        <v>Not</v>
      </c>
      <c r="S267" s="29" t="str">
        <f t="shared" si="23"/>
        <v>Excellent</v>
      </c>
      <c r="T267" s="33" t="str">
        <f t="shared" si="24"/>
        <v>Priority order</v>
      </c>
      <c r="V267" s="15"/>
    </row>
    <row r="268" spans="1:22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25" t="str">
        <f t="shared" si="20"/>
        <v>Marketplace</v>
      </c>
      <c r="I268" s="1" t="s">
        <v>44</v>
      </c>
      <c r="J268" s="1" t="s">
        <v>52</v>
      </c>
      <c r="K268" s="1" t="s">
        <v>53</v>
      </c>
      <c r="L268" s="1" t="s">
        <v>47</v>
      </c>
      <c r="M268" s="1">
        <v>1</v>
      </c>
      <c r="N268" s="1">
        <v>900.78</v>
      </c>
      <c r="O268" s="1">
        <v>5</v>
      </c>
      <c r="P268" s="31" t="str">
        <f t="shared" si="21"/>
        <v>Heavy</v>
      </c>
      <c r="Q268" s="1">
        <v>855.74</v>
      </c>
      <c r="R268" s="27" t="str">
        <f t="shared" si="22"/>
        <v>Not</v>
      </c>
      <c r="S268" s="29" t="str">
        <f t="shared" si="23"/>
        <v>Average</v>
      </c>
      <c r="T268" s="33" t="str">
        <f t="shared" si="24"/>
        <v xml:space="preserve">Normal </v>
      </c>
      <c r="V268" s="15"/>
    </row>
    <row r="269" spans="1:22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25" t="str">
        <f t="shared" si="20"/>
        <v>Marketplace</v>
      </c>
      <c r="I269" s="1" t="s">
        <v>42</v>
      </c>
      <c r="J269" s="1" t="s">
        <v>31</v>
      </c>
      <c r="K269" s="1" t="s">
        <v>39</v>
      </c>
      <c r="L269" s="1" t="s">
        <v>28</v>
      </c>
      <c r="M269" s="1">
        <v>1</v>
      </c>
      <c r="N269" s="1">
        <v>2660.56</v>
      </c>
      <c r="O269" s="1">
        <v>10</v>
      </c>
      <c r="P269" s="31" t="str">
        <f t="shared" si="21"/>
        <v>Heavy</v>
      </c>
      <c r="Q269" s="1">
        <v>2394.5</v>
      </c>
      <c r="R269" s="27" t="str">
        <f t="shared" si="22"/>
        <v>Not</v>
      </c>
      <c r="S269" s="29" t="str">
        <f t="shared" si="23"/>
        <v>Average</v>
      </c>
      <c r="T269" s="33" t="str">
        <f t="shared" si="24"/>
        <v xml:space="preserve">Normal </v>
      </c>
      <c r="V269" s="15"/>
    </row>
    <row r="270" spans="1:22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25" t="str">
        <f t="shared" si="20"/>
        <v>Online</v>
      </c>
      <c r="I270" s="1" t="s">
        <v>35</v>
      </c>
      <c r="J270" s="1" t="s">
        <v>49</v>
      </c>
      <c r="K270" s="1" t="s">
        <v>51</v>
      </c>
      <c r="L270" s="1" t="s">
        <v>47</v>
      </c>
      <c r="M270" s="1">
        <v>5</v>
      </c>
      <c r="N270" s="1">
        <v>3156.54</v>
      </c>
      <c r="O270" s="1">
        <v>20</v>
      </c>
      <c r="P270" s="31" t="str">
        <f t="shared" si="21"/>
        <v>Heavy</v>
      </c>
      <c r="Q270" s="1">
        <v>12626.16</v>
      </c>
      <c r="R270" s="27" t="str">
        <f t="shared" si="22"/>
        <v>Not</v>
      </c>
      <c r="S270" s="29" t="str">
        <f t="shared" si="23"/>
        <v>Excellent</v>
      </c>
      <c r="T270" s="33" t="str">
        <f t="shared" si="24"/>
        <v>Priority order</v>
      </c>
      <c r="V270" s="15"/>
    </row>
    <row r="271" spans="1:22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25" t="str">
        <f t="shared" si="20"/>
        <v>Online</v>
      </c>
      <c r="I271" s="1" t="s">
        <v>35</v>
      </c>
      <c r="J271" s="1" t="s">
        <v>31</v>
      </c>
      <c r="K271" s="1" t="s">
        <v>65</v>
      </c>
      <c r="L271" s="1" t="s">
        <v>45</v>
      </c>
      <c r="M271" s="1">
        <v>6</v>
      </c>
      <c r="N271" s="1">
        <v>3197.13</v>
      </c>
      <c r="O271" s="1">
        <v>10</v>
      </c>
      <c r="P271" s="31" t="str">
        <f t="shared" si="21"/>
        <v>Heavy</v>
      </c>
      <c r="Q271" s="1">
        <v>17264.5</v>
      </c>
      <c r="R271" s="27" t="str">
        <f t="shared" si="22"/>
        <v>Not</v>
      </c>
      <c r="S271" s="29" t="str">
        <f t="shared" si="23"/>
        <v>Excellent</v>
      </c>
      <c r="T271" s="33" t="str">
        <f t="shared" si="24"/>
        <v>Priority order</v>
      </c>
      <c r="V271" s="15"/>
    </row>
    <row r="272" spans="1:22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25" t="str">
        <f t="shared" si="20"/>
        <v>Marketplace</v>
      </c>
      <c r="I272" s="1" t="s">
        <v>25</v>
      </c>
      <c r="J272" s="1" t="s">
        <v>19</v>
      </c>
      <c r="K272" s="1" t="s">
        <v>66</v>
      </c>
      <c r="L272" s="1" t="s">
        <v>47</v>
      </c>
      <c r="M272" s="1">
        <v>3</v>
      </c>
      <c r="N272" s="1">
        <v>2469.5100000000002</v>
      </c>
      <c r="O272" s="1">
        <v>0</v>
      </c>
      <c r="P272" s="31" t="str">
        <f t="shared" si="21"/>
        <v>Normal</v>
      </c>
      <c r="Q272" s="1">
        <v>7408.53</v>
      </c>
      <c r="R272" s="27" t="str">
        <f t="shared" si="22"/>
        <v>Eligible</v>
      </c>
      <c r="S272" s="29" t="str">
        <f t="shared" si="23"/>
        <v>Excellent</v>
      </c>
      <c r="T272" s="33" t="str">
        <f t="shared" si="24"/>
        <v>Priority order</v>
      </c>
      <c r="V272" s="15"/>
    </row>
    <row r="273" spans="1:22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25" t="str">
        <f t="shared" si="20"/>
        <v>Online</v>
      </c>
      <c r="I273" s="1" t="s">
        <v>42</v>
      </c>
      <c r="J273" s="1" t="s">
        <v>31</v>
      </c>
      <c r="K273" s="1" t="s">
        <v>48</v>
      </c>
      <c r="L273" s="1" t="s">
        <v>47</v>
      </c>
      <c r="M273" s="1">
        <v>9</v>
      </c>
      <c r="N273" s="1">
        <v>2119.81</v>
      </c>
      <c r="O273" s="1">
        <v>10</v>
      </c>
      <c r="P273" s="31" t="str">
        <f t="shared" si="21"/>
        <v>Heavy</v>
      </c>
      <c r="Q273" s="1">
        <v>17170.46</v>
      </c>
      <c r="R273" s="27" t="str">
        <f t="shared" si="22"/>
        <v>Not</v>
      </c>
      <c r="S273" s="29" t="str">
        <f t="shared" si="23"/>
        <v>Excellent</v>
      </c>
      <c r="T273" s="33" t="str">
        <f t="shared" si="24"/>
        <v>Priority order</v>
      </c>
      <c r="V273" s="15"/>
    </row>
    <row r="274" spans="1:22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25" t="str">
        <f t="shared" si="20"/>
        <v>Marketplace</v>
      </c>
      <c r="I274" s="1" t="s">
        <v>18</v>
      </c>
      <c r="J274" s="1" t="s">
        <v>31</v>
      </c>
      <c r="K274" s="1" t="s">
        <v>39</v>
      </c>
      <c r="L274" s="1" t="s">
        <v>45</v>
      </c>
      <c r="M274" s="1">
        <v>6</v>
      </c>
      <c r="N274" s="1">
        <v>384.88</v>
      </c>
      <c r="O274" s="1">
        <v>5</v>
      </c>
      <c r="P274" s="31" t="str">
        <f t="shared" si="21"/>
        <v>Heavy</v>
      </c>
      <c r="Q274" s="1">
        <v>2193.8200000000002</v>
      </c>
      <c r="R274" s="27" t="str">
        <f t="shared" si="22"/>
        <v>Not</v>
      </c>
      <c r="S274" s="29" t="str">
        <f t="shared" si="23"/>
        <v>Average</v>
      </c>
      <c r="T274" s="33" t="str">
        <f t="shared" si="24"/>
        <v>Priority order</v>
      </c>
      <c r="V274" s="15"/>
    </row>
    <row r="275" spans="1:22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25" t="str">
        <f t="shared" si="20"/>
        <v>Online</v>
      </c>
      <c r="I275" s="1" t="s">
        <v>44</v>
      </c>
      <c r="J275" s="1" t="s">
        <v>52</v>
      </c>
      <c r="K275" s="1" t="s">
        <v>60</v>
      </c>
      <c r="L275" s="1" t="s">
        <v>33</v>
      </c>
      <c r="M275" s="1">
        <v>4</v>
      </c>
      <c r="N275" s="1">
        <v>1258.1500000000001</v>
      </c>
      <c r="O275" s="1">
        <v>0</v>
      </c>
      <c r="P275" s="31" t="str">
        <f t="shared" si="21"/>
        <v>Normal</v>
      </c>
      <c r="Q275" s="1">
        <v>5032.6000000000004</v>
      </c>
      <c r="R275" s="27" t="str">
        <f t="shared" si="22"/>
        <v>Eligible</v>
      </c>
      <c r="S275" s="29" t="str">
        <f t="shared" si="23"/>
        <v>Good</v>
      </c>
      <c r="T275" s="33" t="str">
        <f t="shared" si="24"/>
        <v xml:space="preserve">Normal </v>
      </c>
      <c r="V275" s="15"/>
    </row>
    <row r="276" spans="1:22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25" t="str">
        <f t="shared" si="20"/>
        <v>Online</v>
      </c>
      <c r="I276" s="1" t="s">
        <v>25</v>
      </c>
      <c r="J276" s="1" t="s">
        <v>52</v>
      </c>
      <c r="K276" s="1" t="s">
        <v>64</v>
      </c>
      <c r="L276" s="1" t="s">
        <v>33</v>
      </c>
      <c r="M276" s="1">
        <v>7</v>
      </c>
      <c r="N276" s="1">
        <v>509.1</v>
      </c>
      <c r="O276" s="1">
        <v>15</v>
      </c>
      <c r="P276" s="31" t="str">
        <f t="shared" si="21"/>
        <v>Heavy</v>
      </c>
      <c r="Q276" s="1">
        <v>3029.14</v>
      </c>
      <c r="R276" s="27" t="str">
        <f t="shared" si="22"/>
        <v>Not</v>
      </c>
      <c r="S276" s="29" t="str">
        <f t="shared" si="23"/>
        <v>Average</v>
      </c>
      <c r="T276" s="33" t="str">
        <f t="shared" si="24"/>
        <v>Priority order</v>
      </c>
      <c r="V276" s="15"/>
    </row>
    <row r="277" spans="1:22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25" t="str">
        <f t="shared" si="20"/>
        <v>Online</v>
      </c>
      <c r="I277" s="1" t="s">
        <v>44</v>
      </c>
      <c r="J277" s="1" t="s">
        <v>52</v>
      </c>
      <c r="K277" s="1" t="s">
        <v>53</v>
      </c>
      <c r="L277" s="1" t="s">
        <v>47</v>
      </c>
      <c r="M277" s="1">
        <v>8</v>
      </c>
      <c r="N277" s="1">
        <v>3860.72</v>
      </c>
      <c r="O277" s="1">
        <v>20</v>
      </c>
      <c r="P277" s="31" t="str">
        <f t="shared" si="21"/>
        <v>Heavy</v>
      </c>
      <c r="Q277" s="1">
        <v>24708.61</v>
      </c>
      <c r="R277" s="27" t="str">
        <f t="shared" si="22"/>
        <v>Not</v>
      </c>
      <c r="S277" s="29" t="str">
        <f t="shared" si="23"/>
        <v>Excellent</v>
      </c>
      <c r="T277" s="33" t="str">
        <f t="shared" si="24"/>
        <v>Priority order</v>
      </c>
      <c r="V277" s="15"/>
    </row>
    <row r="278" spans="1:22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25" t="str">
        <f t="shared" si="20"/>
        <v>Marketplace</v>
      </c>
      <c r="I278" s="1" t="s">
        <v>18</v>
      </c>
      <c r="J278" s="1" t="s">
        <v>26</v>
      </c>
      <c r="K278" s="1" t="s">
        <v>69</v>
      </c>
      <c r="L278" s="1" t="s">
        <v>45</v>
      </c>
      <c r="M278" s="1">
        <v>9</v>
      </c>
      <c r="N278" s="1">
        <v>670.06</v>
      </c>
      <c r="O278" s="1">
        <v>20</v>
      </c>
      <c r="P278" s="31" t="str">
        <f t="shared" si="21"/>
        <v>Heavy</v>
      </c>
      <c r="Q278" s="1">
        <v>4824.43</v>
      </c>
      <c r="R278" s="27" t="str">
        <f t="shared" si="22"/>
        <v>Not</v>
      </c>
      <c r="S278" s="29" t="str">
        <f t="shared" si="23"/>
        <v>Good</v>
      </c>
      <c r="T278" s="33" t="str">
        <f t="shared" si="24"/>
        <v>Priority order</v>
      </c>
      <c r="V278" s="15"/>
    </row>
    <row r="279" spans="1:22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25" t="str">
        <f t="shared" si="20"/>
        <v>Online</v>
      </c>
      <c r="I279" s="1" t="s">
        <v>18</v>
      </c>
      <c r="J279" s="1" t="s">
        <v>19</v>
      </c>
      <c r="K279" s="1" t="s">
        <v>43</v>
      </c>
      <c r="L279" s="1" t="s">
        <v>45</v>
      </c>
      <c r="M279" s="1">
        <v>6</v>
      </c>
      <c r="N279" s="1">
        <v>734.34</v>
      </c>
      <c r="O279" s="1">
        <v>10</v>
      </c>
      <c r="P279" s="31" t="str">
        <f t="shared" si="21"/>
        <v>Heavy</v>
      </c>
      <c r="Q279" s="1">
        <v>3965.44</v>
      </c>
      <c r="R279" s="27" t="str">
        <f t="shared" si="22"/>
        <v>Not</v>
      </c>
      <c r="S279" s="29" t="str">
        <f t="shared" si="23"/>
        <v>Average</v>
      </c>
      <c r="T279" s="33" t="str">
        <f t="shared" si="24"/>
        <v>Priority order</v>
      </c>
      <c r="V279" s="15"/>
    </row>
    <row r="280" spans="1:22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25" t="str">
        <f t="shared" si="20"/>
        <v>Online</v>
      </c>
      <c r="I280" s="1" t="s">
        <v>35</v>
      </c>
      <c r="J280" s="1" t="s">
        <v>52</v>
      </c>
      <c r="K280" s="1" t="s">
        <v>60</v>
      </c>
      <c r="L280" s="1" t="s">
        <v>28</v>
      </c>
      <c r="M280" s="1">
        <v>6</v>
      </c>
      <c r="N280" s="1">
        <v>3574.87</v>
      </c>
      <c r="O280" s="1">
        <v>0</v>
      </c>
      <c r="P280" s="31" t="str">
        <f t="shared" si="21"/>
        <v>Normal</v>
      </c>
      <c r="Q280" s="1">
        <v>21449.22</v>
      </c>
      <c r="R280" s="27" t="str">
        <f t="shared" si="22"/>
        <v>Eligible</v>
      </c>
      <c r="S280" s="29" t="str">
        <f t="shared" si="23"/>
        <v>Excellent</v>
      </c>
      <c r="T280" s="33" t="str">
        <f t="shared" si="24"/>
        <v>Priority order</v>
      </c>
      <c r="V280" s="15"/>
    </row>
    <row r="281" spans="1:22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25" t="str">
        <f t="shared" si="20"/>
        <v>Online</v>
      </c>
      <c r="I281" s="1" t="s">
        <v>18</v>
      </c>
      <c r="J281" s="1" t="s">
        <v>49</v>
      </c>
      <c r="K281" s="1" t="s">
        <v>68</v>
      </c>
      <c r="L281" s="1" t="s">
        <v>33</v>
      </c>
      <c r="M281" s="1">
        <v>8</v>
      </c>
      <c r="N281" s="1">
        <v>3784.12</v>
      </c>
      <c r="O281" s="1">
        <v>15</v>
      </c>
      <c r="P281" s="31" t="str">
        <f t="shared" si="21"/>
        <v>Heavy</v>
      </c>
      <c r="Q281" s="1">
        <v>25732.02</v>
      </c>
      <c r="R281" s="27" t="str">
        <f t="shared" si="22"/>
        <v>Not</v>
      </c>
      <c r="S281" s="29" t="str">
        <f t="shared" si="23"/>
        <v>Excellent</v>
      </c>
      <c r="T281" s="33" t="str">
        <f t="shared" si="24"/>
        <v>Priority order</v>
      </c>
      <c r="V281" s="15"/>
    </row>
    <row r="282" spans="1:22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25" t="str">
        <f t="shared" si="20"/>
        <v>Marketplace</v>
      </c>
      <c r="I282" s="1" t="s">
        <v>44</v>
      </c>
      <c r="J282" s="1" t="s">
        <v>26</v>
      </c>
      <c r="K282" s="1" t="s">
        <v>69</v>
      </c>
      <c r="L282" s="1" t="s">
        <v>21</v>
      </c>
      <c r="M282" s="1">
        <v>5</v>
      </c>
      <c r="N282" s="1">
        <v>3098.44</v>
      </c>
      <c r="O282" s="1">
        <v>0</v>
      </c>
      <c r="P282" s="31" t="str">
        <f t="shared" si="21"/>
        <v>Normal</v>
      </c>
      <c r="Q282" s="1">
        <v>15492.2</v>
      </c>
      <c r="R282" s="27" t="str">
        <f t="shared" si="22"/>
        <v>Eligible</v>
      </c>
      <c r="S282" s="29" t="str">
        <f t="shared" si="23"/>
        <v>Excellent</v>
      </c>
      <c r="T282" s="33" t="str">
        <f t="shared" si="24"/>
        <v>Priority order</v>
      </c>
      <c r="V282" s="15"/>
    </row>
    <row r="283" spans="1:22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25" t="str">
        <f t="shared" si="20"/>
        <v>Online</v>
      </c>
      <c r="I283" s="1" t="s">
        <v>42</v>
      </c>
      <c r="J283" s="1" t="s">
        <v>57</v>
      </c>
      <c r="K283" s="1" t="s">
        <v>67</v>
      </c>
      <c r="L283" s="1" t="s">
        <v>33</v>
      </c>
      <c r="M283" s="1">
        <v>3</v>
      </c>
      <c r="N283" s="1">
        <v>170.81</v>
      </c>
      <c r="O283" s="1">
        <v>20</v>
      </c>
      <c r="P283" s="31" t="str">
        <f t="shared" si="21"/>
        <v>Heavy</v>
      </c>
      <c r="Q283" s="1">
        <v>409.94</v>
      </c>
      <c r="R283" s="27" t="str">
        <f t="shared" si="22"/>
        <v>Not</v>
      </c>
      <c r="S283" s="29" t="str">
        <f t="shared" si="23"/>
        <v>Average</v>
      </c>
      <c r="T283" s="33" t="str">
        <f t="shared" si="24"/>
        <v xml:space="preserve">Normal </v>
      </c>
      <c r="V283" s="15"/>
    </row>
    <row r="284" spans="1:22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25" t="str">
        <f t="shared" si="20"/>
        <v>Marketplace</v>
      </c>
      <c r="I284" s="1" t="s">
        <v>42</v>
      </c>
      <c r="J284" s="1" t="s">
        <v>49</v>
      </c>
      <c r="K284" s="1" t="s">
        <v>63</v>
      </c>
      <c r="L284" s="1" t="s">
        <v>33</v>
      </c>
      <c r="M284" s="1">
        <v>3</v>
      </c>
      <c r="N284" s="1">
        <v>155.18</v>
      </c>
      <c r="O284" s="1">
        <v>0</v>
      </c>
      <c r="P284" s="31" t="str">
        <f t="shared" si="21"/>
        <v>Normal</v>
      </c>
      <c r="Q284" s="1">
        <v>465.54</v>
      </c>
      <c r="R284" s="27" t="str">
        <f t="shared" si="22"/>
        <v>Not</v>
      </c>
      <c r="S284" s="29" t="str">
        <f t="shared" si="23"/>
        <v>Average</v>
      </c>
      <c r="T284" s="33" t="str">
        <f t="shared" si="24"/>
        <v xml:space="preserve">Normal </v>
      </c>
      <c r="V284" s="15"/>
    </row>
    <row r="285" spans="1:22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25" t="str">
        <f t="shared" si="20"/>
        <v>Online</v>
      </c>
      <c r="I285" s="1" t="s">
        <v>35</v>
      </c>
      <c r="J285" s="1" t="s">
        <v>49</v>
      </c>
      <c r="K285" s="1" t="s">
        <v>51</v>
      </c>
      <c r="L285" s="1" t="s">
        <v>28</v>
      </c>
      <c r="M285" s="1">
        <v>6</v>
      </c>
      <c r="N285" s="1">
        <v>1605.69</v>
      </c>
      <c r="O285" s="1">
        <v>15</v>
      </c>
      <c r="P285" s="31" t="str">
        <f t="shared" si="21"/>
        <v>Heavy</v>
      </c>
      <c r="Q285" s="1">
        <v>8189.02</v>
      </c>
      <c r="R285" s="27" t="str">
        <f t="shared" si="22"/>
        <v>Not</v>
      </c>
      <c r="S285" s="29" t="str">
        <f t="shared" si="23"/>
        <v>Excellent</v>
      </c>
      <c r="T285" s="33" t="str">
        <f t="shared" si="24"/>
        <v>Priority order</v>
      </c>
      <c r="V285" s="15"/>
    </row>
    <row r="286" spans="1:22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25" t="str">
        <f t="shared" si="20"/>
        <v>Online</v>
      </c>
      <c r="I286" s="1" t="s">
        <v>44</v>
      </c>
      <c r="J286" s="1" t="s">
        <v>52</v>
      </c>
      <c r="K286" s="1" t="s">
        <v>56</v>
      </c>
      <c r="L286" s="1" t="s">
        <v>21</v>
      </c>
      <c r="M286" s="1">
        <v>2</v>
      </c>
      <c r="N286" s="1">
        <v>702.07</v>
      </c>
      <c r="O286" s="1">
        <v>10</v>
      </c>
      <c r="P286" s="31" t="str">
        <f t="shared" si="21"/>
        <v>Heavy</v>
      </c>
      <c r="Q286" s="1">
        <v>1263.73</v>
      </c>
      <c r="R286" s="27" t="str">
        <f t="shared" si="22"/>
        <v>Not</v>
      </c>
      <c r="S286" s="29" t="str">
        <f t="shared" si="23"/>
        <v>Average</v>
      </c>
      <c r="T286" s="33" t="str">
        <f t="shared" si="24"/>
        <v xml:space="preserve">Normal </v>
      </c>
      <c r="V286" s="15"/>
    </row>
    <row r="287" spans="1:22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25" t="str">
        <f t="shared" si="20"/>
        <v>Online</v>
      </c>
      <c r="I287" s="1" t="s">
        <v>44</v>
      </c>
      <c r="J287" s="1" t="s">
        <v>57</v>
      </c>
      <c r="K287" s="1" t="s">
        <v>58</v>
      </c>
      <c r="L287" s="1" t="s">
        <v>28</v>
      </c>
      <c r="M287" s="1">
        <v>6</v>
      </c>
      <c r="N287" s="1">
        <v>220.79</v>
      </c>
      <c r="O287" s="1">
        <v>5</v>
      </c>
      <c r="P287" s="31" t="str">
        <f t="shared" si="21"/>
        <v>Heavy</v>
      </c>
      <c r="Q287" s="1">
        <v>1258.5</v>
      </c>
      <c r="R287" s="27" t="str">
        <f t="shared" si="22"/>
        <v>Not</v>
      </c>
      <c r="S287" s="29" t="str">
        <f t="shared" si="23"/>
        <v>Average</v>
      </c>
      <c r="T287" s="33" t="str">
        <f t="shared" si="24"/>
        <v>Priority order</v>
      </c>
      <c r="V287" s="15"/>
    </row>
    <row r="288" spans="1:22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25" t="str">
        <f t="shared" si="20"/>
        <v>Online</v>
      </c>
      <c r="I288" s="1" t="s">
        <v>18</v>
      </c>
      <c r="J288" s="1" t="s">
        <v>57</v>
      </c>
      <c r="K288" s="1" t="s">
        <v>67</v>
      </c>
      <c r="L288" s="1" t="s">
        <v>21</v>
      </c>
      <c r="M288" s="1">
        <v>6</v>
      </c>
      <c r="N288" s="1">
        <v>1936.66</v>
      </c>
      <c r="O288" s="1">
        <v>0</v>
      </c>
      <c r="P288" s="31" t="str">
        <f t="shared" si="21"/>
        <v>Normal</v>
      </c>
      <c r="Q288" s="1">
        <v>11619.96</v>
      </c>
      <c r="R288" s="27" t="str">
        <f t="shared" si="22"/>
        <v>Eligible</v>
      </c>
      <c r="S288" s="29" t="str">
        <f t="shared" si="23"/>
        <v>Excellent</v>
      </c>
      <c r="T288" s="33" t="str">
        <f t="shared" si="24"/>
        <v>Priority order</v>
      </c>
      <c r="V288" s="15"/>
    </row>
    <row r="289" spans="1:22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25" t="str">
        <f t="shared" si="20"/>
        <v>Online</v>
      </c>
      <c r="I289" s="1" t="s">
        <v>44</v>
      </c>
      <c r="J289" s="1" t="s">
        <v>26</v>
      </c>
      <c r="K289" s="1" t="s">
        <v>36</v>
      </c>
      <c r="L289" s="1" t="s">
        <v>47</v>
      </c>
      <c r="M289" s="1">
        <v>8</v>
      </c>
      <c r="N289" s="1">
        <v>3780.79</v>
      </c>
      <c r="O289" s="1">
        <v>5</v>
      </c>
      <c r="P289" s="31" t="str">
        <f t="shared" si="21"/>
        <v>Heavy</v>
      </c>
      <c r="Q289" s="1">
        <v>28734</v>
      </c>
      <c r="R289" s="27" t="str">
        <f t="shared" si="22"/>
        <v>Eligible</v>
      </c>
      <c r="S289" s="29" t="str">
        <f t="shared" si="23"/>
        <v>Excellent</v>
      </c>
      <c r="T289" s="33" t="str">
        <f t="shared" si="24"/>
        <v>Priority order</v>
      </c>
      <c r="V289" s="15"/>
    </row>
    <row r="290" spans="1:22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25" t="str">
        <f t="shared" si="20"/>
        <v>Online</v>
      </c>
      <c r="I290" s="1" t="s">
        <v>25</v>
      </c>
      <c r="J290" s="1" t="s">
        <v>57</v>
      </c>
      <c r="K290" s="1" t="s">
        <v>58</v>
      </c>
      <c r="L290" s="1" t="s">
        <v>21</v>
      </c>
      <c r="M290" s="1">
        <v>7</v>
      </c>
      <c r="N290" s="1">
        <v>1396.71</v>
      </c>
      <c r="O290" s="1">
        <v>20</v>
      </c>
      <c r="P290" s="31" t="str">
        <f t="shared" si="21"/>
        <v>Heavy</v>
      </c>
      <c r="Q290" s="1">
        <v>7821.58</v>
      </c>
      <c r="R290" s="27" t="str">
        <f t="shared" si="22"/>
        <v>Not</v>
      </c>
      <c r="S290" s="29" t="str">
        <f t="shared" si="23"/>
        <v>Excellent</v>
      </c>
      <c r="T290" s="33" t="str">
        <f t="shared" si="24"/>
        <v>Priority order</v>
      </c>
      <c r="V290" s="15"/>
    </row>
    <row r="291" spans="1:22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25" t="str">
        <f t="shared" si="20"/>
        <v>Marketplace</v>
      </c>
      <c r="I291" s="1" t="s">
        <v>18</v>
      </c>
      <c r="J291" s="1" t="s">
        <v>19</v>
      </c>
      <c r="K291" s="1" t="s">
        <v>20</v>
      </c>
      <c r="L291" s="1" t="s">
        <v>28</v>
      </c>
      <c r="M291" s="1">
        <v>8</v>
      </c>
      <c r="N291" s="1">
        <v>2695.39</v>
      </c>
      <c r="O291" s="1">
        <v>10</v>
      </c>
      <c r="P291" s="31" t="str">
        <f t="shared" si="21"/>
        <v>Heavy</v>
      </c>
      <c r="Q291" s="1">
        <v>19406.810000000001</v>
      </c>
      <c r="R291" s="27" t="str">
        <f t="shared" si="22"/>
        <v>Not</v>
      </c>
      <c r="S291" s="29" t="str">
        <f t="shared" si="23"/>
        <v>Excellent</v>
      </c>
      <c r="T291" s="33" t="str">
        <f t="shared" si="24"/>
        <v>Priority order</v>
      </c>
      <c r="V291" s="15"/>
    </row>
    <row r="292" spans="1:22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25" t="str">
        <f t="shared" si="20"/>
        <v>Online</v>
      </c>
      <c r="I292" s="1" t="s">
        <v>25</v>
      </c>
      <c r="J292" s="1" t="s">
        <v>52</v>
      </c>
      <c r="K292" s="1" t="s">
        <v>53</v>
      </c>
      <c r="L292" s="1" t="s">
        <v>33</v>
      </c>
      <c r="M292" s="1">
        <v>9</v>
      </c>
      <c r="N292" s="1">
        <v>2661.11</v>
      </c>
      <c r="O292" s="1">
        <v>10</v>
      </c>
      <c r="P292" s="31" t="str">
        <f t="shared" si="21"/>
        <v>Heavy</v>
      </c>
      <c r="Q292" s="1">
        <v>21554.99</v>
      </c>
      <c r="R292" s="27" t="str">
        <f t="shared" si="22"/>
        <v>Not</v>
      </c>
      <c r="S292" s="29" t="str">
        <f t="shared" si="23"/>
        <v>Excellent</v>
      </c>
      <c r="T292" s="33" t="str">
        <f t="shared" si="24"/>
        <v>Priority order</v>
      </c>
      <c r="V292" s="15"/>
    </row>
    <row r="293" spans="1:22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25" t="str">
        <f t="shared" si="20"/>
        <v>Online</v>
      </c>
      <c r="I293" s="1" t="s">
        <v>35</v>
      </c>
      <c r="J293" s="1" t="s">
        <v>57</v>
      </c>
      <c r="K293" s="1" t="s">
        <v>67</v>
      </c>
      <c r="L293" s="1" t="s">
        <v>21</v>
      </c>
      <c r="M293" s="1">
        <v>6</v>
      </c>
      <c r="N293" s="1">
        <v>1116.6600000000001</v>
      </c>
      <c r="O293" s="1">
        <v>0</v>
      </c>
      <c r="P293" s="31" t="str">
        <f t="shared" si="21"/>
        <v>Normal</v>
      </c>
      <c r="Q293" s="1">
        <v>6699.96</v>
      </c>
      <c r="R293" s="27" t="str">
        <f t="shared" si="22"/>
        <v>Eligible</v>
      </c>
      <c r="S293" s="29" t="str">
        <f t="shared" si="23"/>
        <v>Good</v>
      </c>
      <c r="T293" s="33" t="str">
        <f t="shared" si="24"/>
        <v>Priority order</v>
      </c>
      <c r="V293" s="15"/>
    </row>
    <row r="294" spans="1:22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25" t="str">
        <f t="shared" si="20"/>
        <v>Online</v>
      </c>
      <c r="I294" s="1" t="s">
        <v>42</v>
      </c>
      <c r="J294" s="1" t="s">
        <v>26</v>
      </c>
      <c r="K294" s="1" t="s">
        <v>27</v>
      </c>
      <c r="L294" s="1" t="s">
        <v>21</v>
      </c>
      <c r="M294" s="1">
        <v>3</v>
      </c>
      <c r="N294" s="1">
        <v>2654.14</v>
      </c>
      <c r="O294" s="1">
        <v>10</v>
      </c>
      <c r="P294" s="31" t="str">
        <f t="shared" si="21"/>
        <v>Heavy</v>
      </c>
      <c r="Q294" s="1">
        <v>7166.18</v>
      </c>
      <c r="R294" s="27" t="str">
        <f t="shared" si="22"/>
        <v>Not</v>
      </c>
      <c r="S294" s="29" t="str">
        <f t="shared" si="23"/>
        <v>Excellent</v>
      </c>
      <c r="T294" s="33" t="str">
        <f t="shared" si="24"/>
        <v>Priority order</v>
      </c>
      <c r="V294" s="15"/>
    </row>
    <row r="295" spans="1:22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25" t="str">
        <f t="shared" si="20"/>
        <v>Online</v>
      </c>
      <c r="I295" s="1" t="s">
        <v>35</v>
      </c>
      <c r="J295" s="1" t="s">
        <v>19</v>
      </c>
      <c r="K295" s="1" t="s">
        <v>43</v>
      </c>
      <c r="L295" s="1" t="s">
        <v>45</v>
      </c>
      <c r="M295" s="1">
        <v>3</v>
      </c>
      <c r="N295" s="1">
        <v>967.49</v>
      </c>
      <c r="O295" s="1">
        <v>0</v>
      </c>
      <c r="P295" s="31" t="str">
        <f t="shared" si="21"/>
        <v>Normal</v>
      </c>
      <c r="Q295" s="1">
        <v>2902.47</v>
      </c>
      <c r="R295" s="27" t="str">
        <f t="shared" si="22"/>
        <v>Not</v>
      </c>
      <c r="S295" s="29" t="str">
        <f t="shared" si="23"/>
        <v>Average</v>
      </c>
      <c r="T295" s="33" t="str">
        <f t="shared" si="24"/>
        <v xml:space="preserve">Normal </v>
      </c>
      <c r="V295" s="15"/>
    </row>
    <row r="296" spans="1:22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25" t="str">
        <f t="shared" si="20"/>
        <v>Online</v>
      </c>
      <c r="I296" s="1" t="s">
        <v>42</v>
      </c>
      <c r="J296" s="1" t="s">
        <v>31</v>
      </c>
      <c r="K296" s="1" t="s">
        <v>48</v>
      </c>
      <c r="L296" s="1" t="s">
        <v>33</v>
      </c>
      <c r="M296" s="1">
        <v>1</v>
      </c>
      <c r="N296" s="1">
        <v>619.73</v>
      </c>
      <c r="O296" s="1">
        <v>0</v>
      </c>
      <c r="P296" s="31" t="str">
        <f t="shared" si="21"/>
        <v>Normal</v>
      </c>
      <c r="Q296" s="1">
        <v>619.73</v>
      </c>
      <c r="R296" s="27" t="str">
        <f t="shared" si="22"/>
        <v>Not</v>
      </c>
      <c r="S296" s="29" t="str">
        <f t="shared" si="23"/>
        <v>Average</v>
      </c>
      <c r="T296" s="33" t="str">
        <f t="shared" si="24"/>
        <v xml:space="preserve">Normal </v>
      </c>
      <c r="V296" s="15"/>
    </row>
    <row r="297" spans="1:22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25" t="str">
        <f t="shared" si="20"/>
        <v>Online</v>
      </c>
      <c r="I297" s="1" t="s">
        <v>35</v>
      </c>
      <c r="J297" s="1" t="s">
        <v>31</v>
      </c>
      <c r="K297" s="1" t="s">
        <v>48</v>
      </c>
      <c r="L297" s="1" t="s">
        <v>47</v>
      </c>
      <c r="M297" s="1">
        <v>5</v>
      </c>
      <c r="N297" s="1">
        <v>2850.33</v>
      </c>
      <c r="O297" s="1">
        <v>5</v>
      </c>
      <c r="P297" s="31" t="str">
        <f t="shared" si="21"/>
        <v>Heavy</v>
      </c>
      <c r="Q297" s="1">
        <v>13539.07</v>
      </c>
      <c r="R297" s="27" t="str">
        <f t="shared" si="22"/>
        <v>Eligible</v>
      </c>
      <c r="S297" s="29" t="str">
        <f t="shared" si="23"/>
        <v>Excellent</v>
      </c>
      <c r="T297" s="33" t="str">
        <f t="shared" si="24"/>
        <v>Priority order</v>
      </c>
      <c r="V297" s="15"/>
    </row>
    <row r="298" spans="1:22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25" t="str">
        <f t="shared" si="20"/>
        <v>Marketplace</v>
      </c>
      <c r="I298" s="1" t="s">
        <v>44</v>
      </c>
      <c r="J298" s="1" t="s">
        <v>19</v>
      </c>
      <c r="K298" s="1" t="s">
        <v>20</v>
      </c>
      <c r="L298" s="1" t="s">
        <v>28</v>
      </c>
      <c r="M298" s="1">
        <v>4</v>
      </c>
      <c r="N298" s="1">
        <v>586.75</v>
      </c>
      <c r="O298" s="1">
        <v>10</v>
      </c>
      <c r="P298" s="31" t="str">
        <f t="shared" si="21"/>
        <v>Heavy</v>
      </c>
      <c r="Q298" s="1">
        <v>2112.3000000000002</v>
      </c>
      <c r="R298" s="27" t="str">
        <f t="shared" si="22"/>
        <v>Not</v>
      </c>
      <c r="S298" s="29" t="str">
        <f t="shared" si="23"/>
        <v>Average</v>
      </c>
      <c r="T298" s="33" t="str">
        <f t="shared" si="24"/>
        <v xml:space="preserve">Normal </v>
      </c>
      <c r="V298" s="15"/>
    </row>
    <row r="299" spans="1:22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25" t="str">
        <f t="shared" si="20"/>
        <v>Online</v>
      </c>
      <c r="I299" s="1" t="s">
        <v>25</v>
      </c>
      <c r="J299" s="1" t="s">
        <v>26</v>
      </c>
      <c r="K299" s="1" t="s">
        <v>36</v>
      </c>
      <c r="L299" s="1" t="s">
        <v>47</v>
      </c>
      <c r="M299" s="1">
        <v>9</v>
      </c>
      <c r="N299" s="1">
        <v>3988.1</v>
      </c>
      <c r="O299" s="1">
        <v>0</v>
      </c>
      <c r="P299" s="31" t="str">
        <f t="shared" si="21"/>
        <v>Normal</v>
      </c>
      <c r="Q299" s="1">
        <v>35892.9</v>
      </c>
      <c r="R299" s="27" t="str">
        <f t="shared" si="22"/>
        <v>Eligible</v>
      </c>
      <c r="S299" s="29" t="str">
        <f t="shared" si="23"/>
        <v>Excellent</v>
      </c>
      <c r="T299" s="33" t="str">
        <f t="shared" si="24"/>
        <v>Priority order</v>
      </c>
      <c r="V299" s="15"/>
    </row>
    <row r="300" spans="1:22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25" t="str">
        <f t="shared" si="20"/>
        <v>Marketplace</v>
      </c>
      <c r="I300" s="1" t="s">
        <v>42</v>
      </c>
      <c r="J300" s="1" t="s">
        <v>19</v>
      </c>
      <c r="K300" s="1" t="s">
        <v>43</v>
      </c>
      <c r="L300" s="1" t="s">
        <v>33</v>
      </c>
      <c r="M300" s="1">
        <v>9</v>
      </c>
      <c r="N300" s="1">
        <v>856.29</v>
      </c>
      <c r="O300" s="1">
        <v>5</v>
      </c>
      <c r="P300" s="31" t="str">
        <f t="shared" si="21"/>
        <v>Heavy</v>
      </c>
      <c r="Q300" s="1">
        <v>7321.28</v>
      </c>
      <c r="R300" s="27" t="str">
        <f t="shared" si="22"/>
        <v>Eligible</v>
      </c>
      <c r="S300" s="29" t="str">
        <f t="shared" si="23"/>
        <v>Excellent</v>
      </c>
      <c r="T300" s="33" t="str">
        <f t="shared" si="24"/>
        <v>Priority order</v>
      </c>
      <c r="V300" s="15"/>
    </row>
    <row r="301" spans="1:22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25" t="str">
        <f t="shared" si="20"/>
        <v>Marketplace</v>
      </c>
      <c r="I301" s="1" t="s">
        <v>18</v>
      </c>
      <c r="J301" s="1" t="s">
        <v>52</v>
      </c>
      <c r="K301" s="1" t="s">
        <v>53</v>
      </c>
      <c r="L301" s="1" t="s">
        <v>21</v>
      </c>
      <c r="M301" s="1">
        <v>5</v>
      </c>
      <c r="N301" s="1">
        <v>2437.4499999999998</v>
      </c>
      <c r="O301" s="1">
        <v>15</v>
      </c>
      <c r="P301" s="31" t="str">
        <f t="shared" si="21"/>
        <v>Heavy</v>
      </c>
      <c r="Q301" s="1">
        <v>10359.16</v>
      </c>
      <c r="R301" s="27" t="str">
        <f t="shared" si="22"/>
        <v>Not</v>
      </c>
      <c r="S301" s="29" t="str">
        <f t="shared" si="23"/>
        <v>Excellent</v>
      </c>
      <c r="T301" s="33" t="str">
        <f t="shared" si="24"/>
        <v>Priority order</v>
      </c>
      <c r="V301" s="15"/>
    </row>
    <row r="302" spans="1:22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25" t="str">
        <f t="shared" si="20"/>
        <v>Online</v>
      </c>
      <c r="I302" s="1" t="s">
        <v>25</v>
      </c>
      <c r="J302" s="1" t="s">
        <v>52</v>
      </c>
      <c r="K302" s="1" t="s">
        <v>53</v>
      </c>
      <c r="L302" s="1" t="s">
        <v>21</v>
      </c>
      <c r="M302" s="1">
        <v>4</v>
      </c>
      <c r="N302" s="1">
        <v>1733.79</v>
      </c>
      <c r="O302" s="1">
        <v>5</v>
      </c>
      <c r="P302" s="31" t="str">
        <f t="shared" si="21"/>
        <v>Heavy</v>
      </c>
      <c r="Q302" s="1">
        <v>6588.4</v>
      </c>
      <c r="R302" s="27" t="str">
        <f t="shared" si="22"/>
        <v>Eligible</v>
      </c>
      <c r="S302" s="29" t="str">
        <f t="shared" si="23"/>
        <v>Good</v>
      </c>
      <c r="T302" s="33" t="str">
        <f t="shared" si="24"/>
        <v xml:space="preserve">Normal </v>
      </c>
      <c r="V302" s="15"/>
    </row>
    <row r="303" spans="1:22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25" t="str">
        <f t="shared" si="20"/>
        <v>Online</v>
      </c>
      <c r="I303" s="1" t="s">
        <v>18</v>
      </c>
      <c r="J303" s="1" t="s">
        <v>31</v>
      </c>
      <c r="K303" s="1" t="s">
        <v>65</v>
      </c>
      <c r="L303" s="1" t="s">
        <v>33</v>
      </c>
      <c r="M303" s="1">
        <v>7</v>
      </c>
      <c r="N303" s="1">
        <v>636.59</v>
      </c>
      <c r="O303" s="1">
        <v>5</v>
      </c>
      <c r="P303" s="31" t="str">
        <f t="shared" si="21"/>
        <v>Heavy</v>
      </c>
      <c r="Q303" s="1">
        <v>4233.32</v>
      </c>
      <c r="R303" s="27" t="str">
        <f t="shared" si="22"/>
        <v>Not</v>
      </c>
      <c r="S303" s="29" t="str">
        <f t="shared" si="23"/>
        <v>Good</v>
      </c>
      <c r="T303" s="33" t="str">
        <f t="shared" si="24"/>
        <v>Priority order</v>
      </c>
      <c r="V303" s="15"/>
    </row>
    <row r="304" spans="1:22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25" t="str">
        <f t="shared" si="20"/>
        <v>Online</v>
      </c>
      <c r="I304" s="1" t="s">
        <v>25</v>
      </c>
      <c r="J304" s="1" t="s">
        <v>57</v>
      </c>
      <c r="K304" s="1" t="s">
        <v>67</v>
      </c>
      <c r="L304" s="1" t="s">
        <v>21</v>
      </c>
      <c r="M304" s="1">
        <v>6</v>
      </c>
      <c r="N304" s="1">
        <v>257.2</v>
      </c>
      <c r="O304" s="1">
        <v>0</v>
      </c>
      <c r="P304" s="31" t="str">
        <f t="shared" si="21"/>
        <v>Normal</v>
      </c>
      <c r="Q304" s="1">
        <v>1543.2</v>
      </c>
      <c r="R304" s="27" t="str">
        <f t="shared" si="22"/>
        <v>Not</v>
      </c>
      <c r="S304" s="29" t="str">
        <f t="shared" si="23"/>
        <v>Average</v>
      </c>
      <c r="T304" s="33" t="str">
        <f t="shared" si="24"/>
        <v>Priority order</v>
      </c>
      <c r="V304" s="15"/>
    </row>
    <row r="305" spans="1:22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25" t="str">
        <f t="shared" si="20"/>
        <v>Online</v>
      </c>
      <c r="I305" s="1" t="s">
        <v>25</v>
      </c>
      <c r="J305" s="1" t="s">
        <v>26</v>
      </c>
      <c r="K305" s="1" t="s">
        <v>61</v>
      </c>
      <c r="L305" s="1" t="s">
        <v>21</v>
      </c>
      <c r="M305" s="1">
        <v>4</v>
      </c>
      <c r="N305" s="1">
        <v>2547.52</v>
      </c>
      <c r="O305" s="1">
        <v>20</v>
      </c>
      <c r="P305" s="31" t="str">
        <f t="shared" si="21"/>
        <v>Heavy</v>
      </c>
      <c r="Q305" s="1">
        <v>8152.06</v>
      </c>
      <c r="R305" s="27" t="str">
        <f t="shared" si="22"/>
        <v>Not</v>
      </c>
      <c r="S305" s="29" t="str">
        <f t="shared" si="23"/>
        <v>Excellent</v>
      </c>
      <c r="T305" s="33" t="str">
        <f t="shared" si="24"/>
        <v>Priority order</v>
      </c>
      <c r="V305" s="15"/>
    </row>
    <row r="306" spans="1:22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25" t="str">
        <f t="shared" si="20"/>
        <v>Online</v>
      </c>
      <c r="I306" s="1" t="s">
        <v>35</v>
      </c>
      <c r="J306" s="1" t="s">
        <v>31</v>
      </c>
      <c r="K306" s="1" t="s">
        <v>48</v>
      </c>
      <c r="L306" s="1" t="s">
        <v>21</v>
      </c>
      <c r="M306" s="1">
        <v>2</v>
      </c>
      <c r="N306" s="1">
        <v>3256.02</v>
      </c>
      <c r="O306" s="1">
        <v>20</v>
      </c>
      <c r="P306" s="31" t="str">
        <f t="shared" si="21"/>
        <v>Heavy</v>
      </c>
      <c r="Q306" s="1">
        <v>5209.63</v>
      </c>
      <c r="R306" s="27" t="str">
        <f t="shared" si="22"/>
        <v>Not</v>
      </c>
      <c r="S306" s="29" t="str">
        <f t="shared" si="23"/>
        <v>Good</v>
      </c>
      <c r="T306" s="33" t="str">
        <f t="shared" si="24"/>
        <v xml:space="preserve">Normal </v>
      </c>
      <c r="V306" s="15"/>
    </row>
    <row r="307" spans="1:22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25" t="str">
        <f t="shared" si="20"/>
        <v>Marketplace</v>
      </c>
      <c r="I307" s="1" t="s">
        <v>42</v>
      </c>
      <c r="J307" s="1" t="s">
        <v>57</v>
      </c>
      <c r="K307" s="1" t="s">
        <v>62</v>
      </c>
      <c r="L307" s="1" t="s">
        <v>28</v>
      </c>
      <c r="M307" s="1">
        <v>1</v>
      </c>
      <c r="N307" s="1">
        <v>3391.76</v>
      </c>
      <c r="O307" s="1">
        <v>20</v>
      </c>
      <c r="P307" s="31" t="str">
        <f t="shared" si="21"/>
        <v>Heavy</v>
      </c>
      <c r="Q307" s="1">
        <v>2713.41</v>
      </c>
      <c r="R307" s="27" t="str">
        <f t="shared" si="22"/>
        <v>Not</v>
      </c>
      <c r="S307" s="29" t="str">
        <f t="shared" si="23"/>
        <v>Average</v>
      </c>
      <c r="T307" s="33" t="str">
        <f t="shared" si="24"/>
        <v xml:space="preserve">Normal </v>
      </c>
      <c r="V307" s="15"/>
    </row>
    <row r="308" spans="1:22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25" t="str">
        <f t="shared" si="20"/>
        <v>Online</v>
      </c>
      <c r="I308" s="1" t="s">
        <v>42</v>
      </c>
      <c r="J308" s="1" t="s">
        <v>57</v>
      </c>
      <c r="K308" s="1" t="s">
        <v>58</v>
      </c>
      <c r="L308" s="1" t="s">
        <v>28</v>
      </c>
      <c r="M308" s="1">
        <v>4</v>
      </c>
      <c r="N308" s="1">
        <v>2008.45</v>
      </c>
      <c r="O308" s="1">
        <v>5</v>
      </c>
      <c r="P308" s="31" t="str">
        <f t="shared" si="21"/>
        <v>Heavy</v>
      </c>
      <c r="Q308" s="1">
        <v>7632.11</v>
      </c>
      <c r="R308" s="27" t="str">
        <f t="shared" si="22"/>
        <v>Eligible</v>
      </c>
      <c r="S308" s="29" t="str">
        <f t="shared" si="23"/>
        <v>Excellent</v>
      </c>
      <c r="T308" s="33" t="str">
        <f t="shared" si="24"/>
        <v>Priority order</v>
      </c>
      <c r="V308" s="15"/>
    </row>
    <row r="309" spans="1:22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25" t="str">
        <f t="shared" si="20"/>
        <v>Marketplace</v>
      </c>
      <c r="I309" s="1" t="s">
        <v>25</v>
      </c>
      <c r="J309" s="1" t="s">
        <v>52</v>
      </c>
      <c r="K309" s="1" t="s">
        <v>53</v>
      </c>
      <c r="L309" s="1" t="s">
        <v>45</v>
      </c>
      <c r="M309" s="1">
        <v>4</v>
      </c>
      <c r="N309" s="1">
        <v>3143.2</v>
      </c>
      <c r="O309" s="1">
        <v>0</v>
      </c>
      <c r="P309" s="31" t="str">
        <f t="shared" si="21"/>
        <v>Normal</v>
      </c>
      <c r="Q309" s="1">
        <v>12572.8</v>
      </c>
      <c r="R309" s="27" t="str">
        <f t="shared" si="22"/>
        <v>Eligible</v>
      </c>
      <c r="S309" s="29" t="str">
        <f t="shared" si="23"/>
        <v>Excellent</v>
      </c>
      <c r="T309" s="33" t="str">
        <f t="shared" si="24"/>
        <v>Priority order</v>
      </c>
      <c r="V309" s="15"/>
    </row>
    <row r="310" spans="1:22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25" t="str">
        <f t="shared" si="20"/>
        <v>Marketplace</v>
      </c>
      <c r="I310" s="1" t="s">
        <v>44</v>
      </c>
      <c r="J310" s="1" t="s">
        <v>49</v>
      </c>
      <c r="K310" s="1" t="s">
        <v>51</v>
      </c>
      <c r="L310" s="1" t="s">
        <v>47</v>
      </c>
      <c r="M310" s="1">
        <v>1</v>
      </c>
      <c r="N310" s="1">
        <v>2740.46</v>
      </c>
      <c r="O310" s="1">
        <v>10</v>
      </c>
      <c r="P310" s="31" t="str">
        <f t="shared" si="21"/>
        <v>Heavy</v>
      </c>
      <c r="Q310" s="1">
        <v>2466.41</v>
      </c>
      <c r="R310" s="27" t="str">
        <f t="shared" si="22"/>
        <v>Not</v>
      </c>
      <c r="S310" s="29" t="str">
        <f t="shared" si="23"/>
        <v>Average</v>
      </c>
      <c r="T310" s="33" t="str">
        <f t="shared" si="24"/>
        <v xml:space="preserve">Normal </v>
      </c>
      <c r="V310" s="15"/>
    </row>
    <row r="311" spans="1:22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25" t="str">
        <f t="shared" si="20"/>
        <v>Online</v>
      </c>
      <c r="I311" s="1" t="s">
        <v>44</v>
      </c>
      <c r="J311" s="1" t="s">
        <v>49</v>
      </c>
      <c r="K311" s="1" t="s">
        <v>51</v>
      </c>
      <c r="L311" s="1" t="s">
        <v>33</v>
      </c>
      <c r="M311" s="1">
        <v>6</v>
      </c>
      <c r="N311" s="1">
        <v>2938.38</v>
      </c>
      <c r="O311" s="1">
        <v>5</v>
      </c>
      <c r="P311" s="31" t="str">
        <f t="shared" si="21"/>
        <v>Heavy</v>
      </c>
      <c r="Q311" s="1">
        <v>16748.77</v>
      </c>
      <c r="R311" s="27" t="str">
        <f t="shared" si="22"/>
        <v>Eligible</v>
      </c>
      <c r="S311" s="29" t="str">
        <f t="shared" si="23"/>
        <v>Excellent</v>
      </c>
      <c r="T311" s="33" t="str">
        <f t="shared" si="24"/>
        <v>Priority order</v>
      </c>
      <c r="V311" s="15"/>
    </row>
    <row r="312" spans="1:22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25" t="str">
        <f t="shared" si="20"/>
        <v>Online</v>
      </c>
      <c r="I312" s="1" t="s">
        <v>18</v>
      </c>
      <c r="J312" s="1" t="s">
        <v>19</v>
      </c>
      <c r="K312" s="1" t="s">
        <v>43</v>
      </c>
      <c r="L312" s="1" t="s">
        <v>33</v>
      </c>
      <c r="M312" s="1">
        <v>4</v>
      </c>
      <c r="N312" s="1">
        <v>2046.51</v>
      </c>
      <c r="O312" s="1">
        <v>5</v>
      </c>
      <c r="P312" s="31" t="str">
        <f t="shared" si="21"/>
        <v>Heavy</v>
      </c>
      <c r="Q312" s="1">
        <v>7776.74</v>
      </c>
      <c r="R312" s="27" t="str">
        <f t="shared" si="22"/>
        <v>Eligible</v>
      </c>
      <c r="S312" s="29" t="str">
        <f t="shared" si="23"/>
        <v>Excellent</v>
      </c>
      <c r="T312" s="33" t="str">
        <f t="shared" si="24"/>
        <v>Priority order</v>
      </c>
      <c r="V312" s="15"/>
    </row>
    <row r="313" spans="1:22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25" t="str">
        <f t="shared" si="20"/>
        <v>Marketplace</v>
      </c>
      <c r="I313" s="1" t="s">
        <v>18</v>
      </c>
      <c r="J313" s="1" t="s">
        <v>52</v>
      </c>
      <c r="K313" s="1" t="s">
        <v>56</v>
      </c>
      <c r="L313" s="1" t="s">
        <v>33</v>
      </c>
      <c r="M313" s="1">
        <v>1</v>
      </c>
      <c r="N313" s="1">
        <v>2588.64</v>
      </c>
      <c r="O313" s="1">
        <v>0</v>
      </c>
      <c r="P313" s="31" t="str">
        <f t="shared" si="21"/>
        <v>Normal</v>
      </c>
      <c r="Q313" s="1">
        <v>2588.64</v>
      </c>
      <c r="R313" s="27" t="str">
        <f t="shared" si="22"/>
        <v>Not</v>
      </c>
      <c r="S313" s="29" t="str">
        <f t="shared" si="23"/>
        <v>Average</v>
      </c>
      <c r="T313" s="33" t="str">
        <f t="shared" si="24"/>
        <v xml:space="preserve">Normal </v>
      </c>
      <c r="V313" s="15"/>
    </row>
    <row r="314" spans="1:22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25" t="str">
        <f t="shared" si="20"/>
        <v>Online</v>
      </c>
      <c r="I314" s="1" t="s">
        <v>35</v>
      </c>
      <c r="J314" s="1" t="s">
        <v>57</v>
      </c>
      <c r="K314" s="1" t="s">
        <v>62</v>
      </c>
      <c r="L314" s="1" t="s">
        <v>45</v>
      </c>
      <c r="M314" s="1">
        <v>1</v>
      </c>
      <c r="N314" s="1">
        <v>3251.27</v>
      </c>
      <c r="O314" s="1">
        <v>15</v>
      </c>
      <c r="P314" s="31" t="str">
        <f t="shared" si="21"/>
        <v>Heavy</v>
      </c>
      <c r="Q314" s="1">
        <v>2763.58</v>
      </c>
      <c r="R314" s="27" t="str">
        <f t="shared" si="22"/>
        <v>Not</v>
      </c>
      <c r="S314" s="29" t="str">
        <f t="shared" si="23"/>
        <v>Average</v>
      </c>
      <c r="T314" s="33" t="str">
        <f t="shared" si="24"/>
        <v xml:space="preserve">Normal </v>
      </c>
      <c r="V314" s="15"/>
    </row>
    <row r="315" spans="1:22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25" t="str">
        <f t="shared" si="20"/>
        <v>Online</v>
      </c>
      <c r="I315" s="1" t="s">
        <v>25</v>
      </c>
      <c r="J315" s="1" t="s">
        <v>26</v>
      </c>
      <c r="K315" s="1" t="s">
        <v>69</v>
      </c>
      <c r="L315" s="1" t="s">
        <v>28</v>
      </c>
      <c r="M315" s="1">
        <v>1</v>
      </c>
      <c r="N315" s="1">
        <v>1681.85</v>
      </c>
      <c r="O315" s="1">
        <v>5</v>
      </c>
      <c r="P315" s="31" t="str">
        <f t="shared" si="21"/>
        <v>Heavy</v>
      </c>
      <c r="Q315" s="1">
        <v>1597.76</v>
      </c>
      <c r="R315" s="27" t="str">
        <f t="shared" si="22"/>
        <v>Not</v>
      </c>
      <c r="S315" s="29" t="str">
        <f t="shared" si="23"/>
        <v>Average</v>
      </c>
      <c r="T315" s="33" t="str">
        <f t="shared" si="24"/>
        <v xml:space="preserve">Normal </v>
      </c>
      <c r="V315" s="15"/>
    </row>
    <row r="316" spans="1:22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25" t="str">
        <f t="shared" si="20"/>
        <v>Online</v>
      </c>
      <c r="I316" s="1" t="s">
        <v>18</v>
      </c>
      <c r="J316" s="1" t="s">
        <v>49</v>
      </c>
      <c r="K316" s="1" t="s">
        <v>50</v>
      </c>
      <c r="L316" s="1" t="s">
        <v>45</v>
      </c>
      <c r="M316" s="1">
        <v>8</v>
      </c>
      <c r="N316" s="1">
        <v>3253.02</v>
      </c>
      <c r="O316" s="1">
        <v>15</v>
      </c>
      <c r="P316" s="31" t="str">
        <f t="shared" si="21"/>
        <v>Heavy</v>
      </c>
      <c r="Q316" s="1">
        <v>22120.54</v>
      </c>
      <c r="R316" s="27" t="str">
        <f t="shared" si="22"/>
        <v>Not</v>
      </c>
      <c r="S316" s="29" t="str">
        <f t="shared" si="23"/>
        <v>Excellent</v>
      </c>
      <c r="T316" s="33" t="str">
        <f t="shared" si="24"/>
        <v>Priority order</v>
      </c>
      <c r="V316" s="15"/>
    </row>
    <row r="317" spans="1:22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25" t="str">
        <f t="shared" si="20"/>
        <v>Marketplace</v>
      </c>
      <c r="I317" s="1" t="s">
        <v>18</v>
      </c>
      <c r="J317" s="1" t="s">
        <v>57</v>
      </c>
      <c r="K317" s="1" t="s">
        <v>58</v>
      </c>
      <c r="L317" s="1" t="s">
        <v>33</v>
      </c>
      <c r="M317" s="1">
        <v>8</v>
      </c>
      <c r="N317" s="1">
        <v>2429.2600000000002</v>
      </c>
      <c r="O317" s="1">
        <v>15</v>
      </c>
      <c r="P317" s="31" t="str">
        <f t="shared" si="21"/>
        <v>Heavy</v>
      </c>
      <c r="Q317" s="1">
        <v>16518.97</v>
      </c>
      <c r="R317" s="27" t="str">
        <f t="shared" si="22"/>
        <v>Not</v>
      </c>
      <c r="S317" s="29" t="str">
        <f t="shared" si="23"/>
        <v>Excellent</v>
      </c>
      <c r="T317" s="33" t="str">
        <f t="shared" si="24"/>
        <v>Priority order</v>
      </c>
      <c r="V317" s="15"/>
    </row>
    <row r="318" spans="1:22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25" t="str">
        <f t="shared" si="20"/>
        <v>Online</v>
      </c>
      <c r="I318" s="1" t="s">
        <v>25</v>
      </c>
      <c r="J318" s="1" t="s">
        <v>49</v>
      </c>
      <c r="K318" s="1" t="s">
        <v>63</v>
      </c>
      <c r="L318" s="1" t="s">
        <v>47</v>
      </c>
      <c r="M318" s="1">
        <v>2</v>
      </c>
      <c r="N318" s="1">
        <v>788.72</v>
      </c>
      <c r="O318" s="1">
        <v>20</v>
      </c>
      <c r="P318" s="31" t="str">
        <f t="shared" si="21"/>
        <v>Heavy</v>
      </c>
      <c r="Q318" s="1">
        <v>1261.95</v>
      </c>
      <c r="R318" s="27" t="str">
        <f t="shared" si="22"/>
        <v>Not</v>
      </c>
      <c r="S318" s="29" t="str">
        <f t="shared" si="23"/>
        <v>Average</v>
      </c>
      <c r="T318" s="33" t="str">
        <f t="shared" si="24"/>
        <v xml:space="preserve">Normal </v>
      </c>
      <c r="V318" s="15"/>
    </row>
    <row r="319" spans="1:22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25" t="str">
        <f t="shared" si="20"/>
        <v>Marketplace</v>
      </c>
      <c r="I319" s="1" t="s">
        <v>35</v>
      </c>
      <c r="J319" s="1" t="s">
        <v>49</v>
      </c>
      <c r="K319" s="1" t="s">
        <v>68</v>
      </c>
      <c r="L319" s="1" t="s">
        <v>21</v>
      </c>
      <c r="M319" s="1">
        <v>7</v>
      </c>
      <c r="N319" s="1">
        <v>245.03</v>
      </c>
      <c r="O319" s="1">
        <v>0</v>
      </c>
      <c r="P319" s="31" t="str">
        <f t="shared" si="21"/>
        <v>Normal</v>
      </c>
      <c r="Q319" s="1">
        <v>1715.21</v>
      </c>
      <c r="R319" s="27" t="str">
        <f t="shared" si="22"/>
        <v>Not</v>
      </c>
      <c r="S319" s="29" t="str">
        <f t="shared" si="23"/>
        <v>Average</v>
      </c>
      <c r="T319" s="33" t="str">
        <f t="shared" si="24"/>
        <v>Priority order</v>
      </c>
      <c r="V319" s="15"/>
    </row>
    <row r="320" spans="1:22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25" t="str">
        <f t="shared" si="20"/>
        <v>Online</v>
      </c>
      <c r="I320" s="1" t="s">
        <v>18</v>
      </c>
      <c r="J320" s="1" t="s">
        <v>49</v>
      </c>
      <c r="K320" s="1" t="s">
        <v>50</v>
      </c>
      <c r="L320" s="1" t="s">
        <v>28</v>
      </c>
      <c r="M320" s="1">
        <v>8</v>
      </c>
      <c r="N320" s="1">
        <v>1546.6</v>
      </c>
      <c r="O320" s="1">
        <v>15</v>
      </c>
      <c r="P320" s="31" t="str">
        <f t="shared" si="21"/>
        <v>Heavy</v>
      </c>
      <c r="Q320" s="1">
        <v>10516.88</v>
      </c>
      <c r="R320" s="27" t="str">
        <f t="shared" si="22"/>
        <v>Not</v>
      </c>
      <c r="S320" s="29" t="str">
        <f t="shared" si="23"/>
        <v>Excellent</v>
      </c>
      <c r="T320" s="33" t="str">
        <f t="shared" si="24"/>
        <v>Priority order</v>
      </c>
      <c r="V320" s="15"/>
    </row>
    <row r="321" spans="1:22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25" t="str">
        <f t="shared" si="20"/>
        <v>Online</v>
      </c>
      <c r="I321" s="1" t="s">
        <v>35</v>
      </c>
      <c r="J321" s="1" t="s">
        <v>26</v>
      </c>
      <c r="K321" s="1" t="s">
        <v>36</v>
      </c>
      <c r="L321" s="1" t="s">
        <v>28</v>
      </c>
      <c r="M321" s="1">
        <v>8</v>
      </c>
      <c r="N321" s="1">
        <v>2254.7800000000002</v>
      </c>
      <c r="O321" s="1">
        <v>0</v>
      </c>
      <c r="P321" s="31" t="str">
        <f t="shared" si="21"/>
        <v>Normal</v>
      </c>
      <c r="Q321" s="1">
        <v>18038.240000000002</v>
      </c>
      <c r="R321" s="27" t="str">
        <f t="shared" si="22"/>
        <v>Eligible</v>
      </c>
      <c r="S321" s="29" t="str">
        <f t="shared" si="23"/>
        <v>Excellent</v>
      </c>
      <c r="T321" s="33" t="str">
        <f t="shared" si="24"/>
        <v>Priority order</v>
      </c>
      <c r="V321" s="15"/>
    </row>
    <row r="322" spans="1:22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25" t="str">
        <f t="shared" si="20"/>
        <v>Marketplace</v>
      </c>
      <c r="I322" s="1" t="s">
        <v>42</v>
      </c>
      <c r="J322" s="1" t="s">
        <v>52</v>
      </c>
      <c r="K322" s="1" t="s">
        <v>60</v>
      </c>
      <c r="L322" s="1" t="s">
        <v>45</v>
      </c>
      <c r="M322" s="1">
        <v>7</v>
      </c>
      <c r="N322" s="1">
        <v>3383.31</v>
      </c>
      <c r="O322" s="1">
        <v>20</v>
      </c>
      <c r="P322" s="31" t="str">
        <f t="shared" si="21"/>
        <v>Heavy</v>
      </c>
      <c r="Q322" s="1">
        <v>18946.54</v>
      </c>
      <c r="R322" s="27" t="str">
        <f t="shared" si="22"/>
        <v>Not</v>
      </c>
      <c r="S322" s="29" t="str">
        <f t="shared" si="23"/>
        <v>Excellent</v>
      </c>
      <c r="T322" s="33" t="str">
        <f t="shared" si="24"/>
        <v>Priority order</v>
      </c>
      <c r="V322" s="15"/>
    </row>
    <row r="323" spans="1:22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25" t="str">
        <f t="shared" ref="H323:H386" si="25">IF(G323:G822&lt;&gt; "Marketplace","Online","Marketplace")</f>
        <v>Marketplace</v>
      </c>
      <c r="I323" s="1" t="s">
        <v>35</v>
      </c>
      <c r="J323" s="1" t="s">
        <v>26</v>
      </c>
      <c r="K323" s="1" t="s">
        <v>61</v>
      </c>
      <c r="L323" s="1" t="s">
        <v>28</v>
      </c>
      <c r="M323" s="1">
        <v>5</v>
      </c>
      <c r="N323" s="1">
        <v>640.82000000000005</v>
      </c>
      <c r="O323" s="1">
        <v>0</v>
      </c>
      <c r="P323" s="31" t="str">
        <f t="shared" ref="P323:P386" si="26">IF(O323&gt;10%,"Heavy","Normal")</f>
        <v>Normal</v>
      </c>
      <c r="Q323" s="1">
        <v>3204.1</v>
      </c>
      <c r="R323" s="27" t="str">
        <f t="shared" ref="R323:R386" si="27">IF(AND($Q$2:$Q$501 &gt; 5000, $O$2:$O$501&lt;10),"Eligible","Not")</f>
        <v>Not</v>
      </c>
      <c r="S323" s="29" t="str">
        <f t="shared" ref="S323:S386" si="28">IF(Q323&gt;=7000,"Excellent",(IF(Q323&gt;=4000,"Good","Average")))</f>
        <v>Average</v>
      </c>
      <c r="T323" s="33" t="str">
        <f t="shared" ref="T323:T386" si="29">IF(OR(Q323&gt;7000,M323&gt;5),"Priority order","Normal ")</f>
        <v xml:space="preserve">Normal </v>
      </c>
      <c r="V323" s="15"/>
    </row>
    <row r="324" spans="1:22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25" t="str">
        <f t="shared" si="25"/>
        <v>Online</v>
      </c>
      <c r="I324" s="1" t="s">
        <v>44</v>
      </c>
      <c r="J324" s="1" t="s">
        <v>31</v>
      </c>
      <c r="K324" s="1" t="s">
        <v>48</v>
      </c>
      <c r="L324" s="1" t="s">
        <v>33</v>
      </c>
      <c r="M324" s="1">
        <v>1</v>
      </c>
      <c r="N324" s="1">
        <v>3230.79</v>
      </c>
      <c r="O324" s="1">
        <v>5</v>
      </c>
      <c r="P324" s="31" t="str">
        <f t="shared" si="26"/>
        <v>Heavy</v>
      </c>
      <c r="Q324" s="1">
        <v>3069.25</v>
      </c>
      <c r="R324" s="27" t="str">
        <f t="shared" si="27"/>
        <v>Not</v>
      </c>
      <c r="S324" s="29" t="str">
        <f t="shared" si="28"/>
        <v>Average</v>
      </c>
      <c r="T324" s="33" t="str">
        <f t="shared" si="29"/>
        <v xml:space="preserve">Normal </v>
      </c>
      <c r="V324" s="15"/>
    </row>
    <row r="325" spans="1:22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25" t="str">
        <f t="shared" si="25"/>
        <v>Online</v>
      </c>
      <c r="I325" s="1" t="s">
        <v>44</v>
      </c>
      <c r="J325" s="1" t="s">
        <v>57</v>
      </c>
      <c r="K325" s="1" t="s">
        <v>58</v>
      </c>
      <c r="L325" s="1" t="s">
        <v>33</v>
      </c>
      <c r="M325" s="1">
        <v>9</v>
      </c>
      <c r="N325" s="1">
        <v>3472.58</v>
      </c>
      <c r="O325" s="1">
        <v>15</v>
      </c>
      <c r="P325" s="31" t="str">
        <f t="shared" si="26"/>
        <v>Heavy</v>
      </c>
      <c r="Q325" s="1">
        <v>26565.24</v>
      </c>
      <c r="R325" s="27" t="str">
        <f t="shared" si="27"/>
        <v>Not</v>
      </c>
      <c r="S325" s="29" t="str">
        <f t="shared" si="28"/>
        <v>Excellent</v>
      </c>
      <c r="T325" s="33" t="str">
        <f t="shared" si="29"/>
        <v>Priority order</v>
      </c>
      <c r="V325" s="15"/>
    </row>
    <row r="326" spans="1:22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25" t="str">
        <f t="shared" si="25"/>
        <v>Marketplace</v>
      </c>
      <c r="I326" s="1" t="s">
        <v>35</v>
      </c>
      <c r="J326" s="1" t="s">
        <v>52</v>
      </c>
      <c r="K326" s="1" t="s">
        <v>64</v>
      </c>
      <c r="L326" s="1" t="s">
        <v>45</v>
      </c>
      <c r="M326" s="1">
        <v>7</v>
      </c>
      <c r="N326" s="1">
        <v>730.15</v>
      </c>
      <c r="O326" s="1">
        <v>0</v>
      </c>
      <c r="P326" s="31" t="str">
        <f t="shared" si="26"/>
        <v>Normal</v>
      </c>
      <c r="Q326" s="1">
        <v>5111.05</v>
      </c>
      <c r="R326" s="27" t="str">
        <f t="shared" si="27"/>
        <v>Eligible</v>
      </c>
      <c r="S326" s="29" t="str">
        <f t="shared" si="28"/>
        <v>Good</v>
      </c>
      <c r="T326" s="33" t="str">
        <f t="shared" si="29"/>
        <v>Priority order</v>
      </c>
      <c r="V326" s="15"/>
    </row>
    <row r="327" spans="1:22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25" t="str">
        <f t="shared" si="25"/>
        <v>Online</v>
      </c>
      <c r="I327" s="1" t="s">
        <v>44</v>
      </c>
      <c r="J327" s="1" t="s">
        <v>52</v>
      </c>
      <c r="K327" s="1" t="s">
        <v>60</v>
      </c>
      <c r="L327" s="1" t="s">
        <v>33</v>
      </c>
      <c r="M327" s="1">
        <v>2</v>
      </c>
      <c r="N327" s="1">
        <v>3428.64</v>
      </c>
      <c r="O327" s="1">
        <v>10</v>
      </c>
      <c r="P327" s="31" t="str">
        <f t="shared" si="26"/>
        <v>Heavy</v>
      </c>
      <c r="Q327" s="1">
        <v>6171.55</v>
      </c>
      <c r="R327" s="27" t="str">
        <f t="shared" si="27"/>
        <v>Not</v>
      </c>
      <c r="S327" s="29" t="str">
        <f t="shared" si="28"/>
        <v>Good</v>
      </c>
      <c r="T327" s="33" t="str">
        <f t="shared" si="29"/>
        <v xml:space="preserve">Normal </v>
      </c>
      <c r="V327" s="15"/>
    </row>
    <row r="328" spans="1:22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25" t="str">
        <f t="shared" si="25"/>
        <v>Online</v>
      </c>
      <c r="I328" s="1" t="s">
        <v>42</v>
      </c>
      <c r="J328" s="1" t="s">
        <v>52</v>
      </c>
      <c r="K328" s="1" t="s">
        <v>60</v>
      </c>
      <c r="L328" s="1" t="s">
        <v>47</v>
      </c>
      <c r="M328" s="1">
        <v>6</v>
      </c>
      <c r="N328" s="1">
        <v>3967.1</v>
      </c>
      <c r="O328" s="1">
        <v>0</v>
      </c>
      <c r="P328" s="31" t="str">
        <f t="shared" si="26"/>
        <v>Normal</v>
      </c>
      <c r="Q328" s="1">
        <v>23802.6</v>
      </c>
      <c r="R328" s="27" t="str">
        <f t="shared" si="27"/>
        <v>Eligible</v>
      </c>
      <c r="S328" s="29" t="str">
        <f t="shared" si="28"/>
        <v>Excellent</v>
      </c>
      <c r="T328" s="33" t="str">
        <f t="shared" si="29"/>
        <v>Priority order</v>
      </c>
      <c r="V328" s="15"/>
    </row>
    <row r="329" spans="1:22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25" t="str">
        <f t="shared" si="25"/>
        <v>Online</v>
      </c>
      <c r="I329" s="1" t="s">
        <v>25</v>
      </c>
      <c r="J329" s="1" t="s">
        <v>52</v>
      </c>
      <c r="K329" s="1" t="s">
        <v>53</v>
      </c>
      <c r="L329" s="1" t="s">
        <v>45</v>
      </c>
      <c r="M329" s="1">
        <v>2</v>
      </c>
      <c r="N329" s="1">
        <v>2948.33</v>
      </c>
      <c r="O329" s="1">
        <v>15</v>
      </c>
      <c r="P329" s="31" t="str">
        <f t="shared" si="26"/>
        <v>Heavy</v>
      </c>
      <c r="Q329" s="1">
        <v>5012.16</v>
      </c>
      <c r="R329" s="27" t="str">
        <f t="shared" si="27"/>
        <v>Not</v>
      </c>
      <c r="S329" s="29" t="str">
        <f t="shared" si="28"/>
        <v>Good</v>
      </c>
      <c r="T329" s="33" t="str">
        <f t="shared" si="29"/>
        <v xml:space="preserve">Normal </v>
      </c>
      <c r="V329" s="15"/>
    </row>
    <row r="330" spans="1:22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25" t="str">
        <f t="shared" si="25"/>
        <v>Online</v>
      </c>
      <c r="I330" s="1" t="s">
        <v>44</v>
      </c>
      <c r="J330" s="1" t="s">
        <v>26</v>
      </c>
      <c r="K330" s="1" t="s">
        <v>27</v>
      </c>
      <c r="L330" s="1" t="s">
        <v>47</v>
      </c>
      <c r="M330" s="1">
        <v>1</v>
      </c>
      <c r="N330" s="1">
        <v>3171.36</v>
      </c>
      <c r="O330" s="1">
        <v>20</v>
      </c>
      <c r="P330" s="31" t="str">
        <f t="shared" si="26"/>
        <v>Heavy</v>
      </c>
      <c r="Q330" s="1">
        <v>2537.09</v>
      </c>
      <c r="R330" s="27" t="str">
        <f t="shared" si="27"/>
        <v>Not</v>
      </c>
      <c r="S330" s="29" t="str">
        <f t="shared" si="28"/>
        <v>Average</v>
      </c>
      <c r="T330" s="33" t="str">
        <f t="shared" si="29"/>
        <v xml:space="preserve">Normal </v>
      </c>
      <c r="V330" s="15"/>
    </row>
    <row r="331" spans="1:22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25" t="str">
        <f t="shared" si="25"/>
        <v>Online</v>
      </c>
      <c r="I331" s="1" t="s">
        <v>44</v>
      </c>
      <c r="J331" s="1" t="s">
        <v>52</v>
      </c>
      <c r="K331" s="1" t="s">
        <v>64</v>
      </c>
      <c r="L331" s="1" t="s">
        <v>21</v>
      </c>
      <c r="M331" s="1">
        <v>7</v>
      </c>
      <c r="N331" s="1">
        <v>3978.5</v>
      </c>
      <c r="O331" s="1">
        <v>20</v>
      </c>
      <c r="P331" s="31" t="str">
        <f t="shared" si="26"/>
        <v>Heavy</v>
      </c>
      <c r="Q331" s="1">
        <v>22279.599999999999</v>
      </c>
      <c r="R331" s="27" t="str">
        <f t="shared" si="27"/>
        <v>Not</v>
      </c>
      <c r="S331" s="29" t="str">
        <f t="shared" si="28"/>
        <v>Excellent</v>
      </c>
      <c r="T331" s="33" t="str">
        <f t="shared" si="29"/>
        <v>Priority order</v>
      </c>
      <c r="V331" s="15"/>
    </row>
    <row r="332" spans="1:22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25" t="str">
        <f t="shared" si="25"/>
        <v>Online</v>
      </c>
      <c r="I332" s="1" t="s">
        <v>35</v>
      </c>
      <c r="J332" s="1" t="s">
        <v>19</v>
      </c>
      <c r="K332" s="1" t="s">
        <v>55</v>
      </c>
      <c r="L332" s="1" t="s">
        <v>47</v>
      </c>
      <c r="M332" s="1">
        <v>2</v>
      </c>
      <c r="N332" s="1">
        <v>2481.1</v>
      </c>
      <c r="O332" s="1">
        <v>15</v>
      </c>
      <c r="P332" s="31" t="str">
        <f t="shared" si="26"/>
        <v>Heavy</v>
      </c>
      <c r="Q332" s="1">
        <v>4217.87</v>
      </c>
      <c r="R332" s="27" t="str">
        <f t="shared" si="27"/>
        <v>Not</v>
      </c>
      <c r="S332" s="29" t="str">
        <f t="shared" si="28"/>
        <v>Good</v>
      </c>
      <c r="T332" s="33" t="str">
        <f t="shared" si="29"/>
        <v xml:space="preserve">Normal </v>
      </c>
      <c r="V332" s="15"/>
    </row>
    <row r="333" spans="1:22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25" t="str">
        <f t="shared" si="25"/>
        <v>Online</v>
      </c>
      <c r="I333" s="1" t="s">
        <v>42</v>
      </c>
      <c r="J333" s="1" t="s">
        <v>57</v>
      </c>
      <c r="K333" s="1" t="s">
        <v>67</v>
      </c>
      <c r="L333" s="1" t="s">
        <v>21</v>
      </c>
      <c r="M333" s="1">
        <v>2</v>
      </c>
      <c r="N333" s="1">
        <v>1335.36</v>
      </c>
      <c r="O333" s="1">
        <v>5</v>
      </c>
      <c r="P333" s="31" t="str">
        <f t="shared" si="26"/>
        <v>Heavy</v>
      </c>
      <c r="Q333" s="1">
        <v>2537.1799999999998</v>
      </c>
      <c r="R333" s="27" t="str">
        <f t="shared" si="27"/>
        <v>Not</v>
      </c>
      <c r="S333" s="29" t="str">
        <f t="shared" si="28"/>
        <v>Average</v>
      </c>
      <c r="T333" s="33" t="str">
        <f t="shared" si="29"/>
        <v xml:space="preserve">Normal </v>
      </c>
      <c r="V333" s="15"/>
    </row>
    <row r="334" spans="1:22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25" t="str">
        <f t="shared" si="25"/>
        <v>Online</v>
      </c>
      <c r="I334" s="1" t="s">
        <v>25</v>
      </c>
      <c r="J334" s="1" t="s">
        <v>52</v>
      </c>
      <c r="K334" s="1" t="s">
        <v>60</v>
      </c>
      <c r="L334" s="1" t="s">
        <v>21</v>
      </c>
      <c r="M334" s="1">
        <v>5</v>
      </c>
      <c r="N334" s="1">
        <v>3374.49</v>
      </c>
      <c r="O334" s="1">
        <v>5</v>
      </c>
      <c r="P334" s="31" t="str">
        <f t="shared" si="26"/>
        <v>Heavy</v>
      </c>
      <c r="Q334" s="1">
        <v>16028.83</v>
      </c>
      <c r="R334" s="27" t="str">
        <f t="shared" si="27"/>
        <v>Eligible</v>
      </c>
      <c r="S334" s="29" t="str">
        <f t="shared" si="28"/>
        <v>Excellent</v>
      </c>
      <c r="T334" s="33" t="str">
        <f t="shared" si="29"/>
        <v>Priority order</v>
      </c>
      <c r="V334" s="15"/>
    </row>
    <row r="335" spans="1:22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25" t="str">
        <f t="shared" si="25"/>
        <v>Online</v>
      </c>
      <c r="I335" s="1" t="s">
        <v>35</v>
      </c>
      <c r="J335" s="1" t="s">
        <v>57</v>
      </c>
      <c r="K335" s="1" t="s">
        <v>59</v>
      </c>
      <c r="L335" s="1" t="s">
        <v>47</v>
      </c>
      <c r="M335" s="1">
        <v>5</v>
      </c>
      <c r="N335" s="1">
        <v>2515.77</v>
      </c>
      <c r="O335" s="1">
        <v>20</v>
      </c>
      <c r="P335" s="31" t="str">
        <f t="shared" si="26"/>
        <v>Heavy</v>
      </c>
      <c r="Q335" s="1">
        <v>10063.08</v>
      </c>
      <c r="R335" s="27" t="str">
        <f t="shared" si="27"/>
        <v>Not</v>
      </c>
      <c r="S335" s="29" t="str">
        <f t="shared" si="28"/>
        <v>Excellent</v>
      </c>
      <c r="T335" s="33" t="str">
        <f t="shared" si="29"/>
        <v>Priority order</v>
      </c>
      <c r="V335" s="15"/>
    </row>
    <row r="336" spans="1:22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25" t="str">
        <f t="shared" si="25"/>
        <v>Online</v>
      </c>
      <c r="I336" s="1" t="s">
        <v>35</v>
      </c>
      <c r="J336" s="1" t="s">
        <v>19</v>
      </c>
      <c r="K336" s="1" t="s">
        <v>43</v>
      </c>
      <c r="L336" s="1" t="s">
        <v>45</v>
      </c>
      <c r="M336" s="1">
        <v>7</v>
      </c>
      <c r="N336" s="1">
        <v>2387.6</v>
      </c>
      <c r="O336" s="1">
        <v>20</v>
      </c>
      <c r="P336" s="31" t="str">
        <f t="shared" si="26"/>
        <v>Heavy</v>
      </c>
      <c r="Q336" s="1">
        <v>13370.56</v>
      </c>
      <c r="R336" s="27" t="str">
        <f t="shared" si="27"/>
        <v>Not</v>
      </c>
      <c r="S336" s="29" t="str">
        <f t="shared" si="28"/>
        <v>Excellent</v>
      </c>
      <c r="T336" s="33" t="str">
        <f t="shared" si="29"/>
        <v>Priority order</v>
      </c>
      <c r="V336" s="15"/>
    </row>
    <row r="337" spans="1:22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25" t="str">
        <f t="shared" si="25"/>
        <v>Online</v>
      </c>
      <c r="I337" s="1" t="s">
        <v>42</v>
      </c>
      <c r="J337" s="1" t="s">
        <v>19</v>
      </c>
      <c r="K337" s="1" t="s">
        <v>66</v>
      </c>
      <c r="L337" s="1" t="s">
        <v>33</v>
      </c>
      <c r="M337" s="1">
        <v>1</v>
      </c>
      <c r="N337" s="1">
        <v>1126.5</v>
      </c>
      <c r="O337" s="1">
        <v>15</v>
      </c>
      <c r="P337" s="31" t="str">
        <f t="shared" si="26"/>
        <v>Heavy</v>
      </c>
      <c r="Q337" s="1">
        <v>957.52</v>
      </c>
      <c r="R337" s="27" t="str">
        <f t="shared" si="27"/>
        <v>Not</v>
      </c>
      <c r="S337" s="29" t="str">
        <f t="shared" si="28"/>
        <v>Average</v>
      </c>
      <c r="T337" s="33" t="str">
        <f t="shared" si="29"/>
        <v xml:space="preserve">Normal </v>
      </c>
      <c r="V337" s="15"/>
    </row>
    <row r="338" spans="1:22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25" t="str">
        <f t="shared" si="25"/>
        <v>Online</v>
      </c>
      <c r="I338" s="1" t="s">
        <v>25</v>
      </c>
      <c r="J338" s="1" t="s">
        <v>57</v>
      </c>
      <c r="K338" s="1" t="s">
        <v>62</v>
      </c>
      <c r="L338" s="1" t="s">
        <v>33</v>
      </c>
      <c r="M338" s="1">
        <v>8</v>
      </c>
      <c r="N338" s="1">
        <v>3061.89</v>
      </c>
      <c r="O338" s="1">
        <v>5</v>
      </c>
      <c r="P338" s="31" t="str">
        <f t="shared" si="26"/>
        <v>Heavy</v>
      </c>
      <c r="Q338" s="1">
        <v>23270.36</v>
      </c>
      <c r="R338" s="27" t="str">
        <f t="shared" si="27"/>
        <v>Eligible</v>
      </c>
      <c r="S338" s="29" t="str">
        <f t="shared" si="28"/>
        <v>Excellent</v>
      </c>
      <c r="T338" s="33" t="str">
        <f t="shared" si="29"/>
        <v>Priority order</v>
      </c>
      <c r="V338" s="15"/>
    </row>
    <row r="339" spans="1:22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25" t="str">
        <f t="shared" si="25"/>
        <v>Marketplace</v>
      </c>
      <c r="I339" s="1" t="s">
        <v>42</v>
      </c>
      <c r="J339" s="1" t="s">
        <v>49</v>
      </c>
      <c r="K339" s="1" t="s">
        <v>50</v>
      </c>
      <c r="L339" s="1" t="s">
        <v>21</v>
      </c>
      <c r="M339" s="1">
        <v>3</v>
      </c>
      <c r="N339" s="1">
        <v>464.42</v>
      </c>
      <c r="O339" s="1">
        <v>20</v>
      </c>
      <c r="P339" s="31" t="str">
        <f t="shared" si="26"/>
        <v>Heavy</v>
      </c>
      <c r="Q339" s="1">
        <v>1114.6099999999999</v>
      </c>
      <c r="R339" s="27" t="str">
        <f t="shared" si="27"/>
        <v>Not</v>
      </c>
      <c r="S339" s="29" t="str">
        <f t="shared" si="28"/>
        <v>Average</v>
      </c>
      <c r="T339" s="33" t="str">
        <f t="shared" si="29"/>
        <v xml:space="preserve">Normal </v>
      </c>
      <c r="V339" s="15"/>
    </row>
    <row r="340" spans="1:22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25" t="str">
        <f t="shared" si="25"/>
        <v>Online</v>
      </c>
      <c r="I340" s="1" t="s">
        <v>25</v>
      </c>
      <c r="J340" s="1" t="s">
        <v>31</v>
      </c>
      <c r="K340" s="1" t="s">
        <v>32</v>
      </c>
      <c r="L340" s="1" t="s">
        <v>21</v>
      </c>
      <c r="M340" s="1">
        <v>4</v>
      </c>
      <c r="N340" s="1">
        <v>3708.51</v>
      </c>
      <c r="O340" s="1">
        <v>5</v>
      </c>
      <c r="P340" s="31" t="str">
        <f t="shared" si="26"/>
        <v>Heavy</v>
      </c>
      <c r="Q340" s="1">
        <v>14092.34</v>
      </c>
      <c r="R340" s="27" t="str">
        <f t="shared" si="27"/>
        <v>Eligible</v>
      </c>
      <c r="S340" s="29" t="str">
        <f t="shared" si="28"/>
        <v>Excellent</v>
      </c>
      <c r="T340" s="33" t="str">
        <f t="shared" si="29"/>
        <v>Priority order</v>
      </c>
      <c r="V340" s="15"/>
    </row>
    <row r="341" spans="1:22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25" t="str">
        <f t="shared" si="25"/>
        <v>Marketplace</v>
      </c>
      <c r="I341" s="1" t="s">
        <v>42</v>
      </c>
      <c r="J341" s="1" t="s">
        <v>49</v>
      </c>
      <c r="K341" s="1" t="s">
        <v>50</v>
      </c>
      <c r="L341" s="1" t="s">
        <v>45</v>
      </c>
      <c r="M341" s="1">
        <v>9</v>
      </c>
      <c r="N341" s="1">
        <v>1404.42</v>
      </c>
      <c r="O341" s="1">
        <v>20</v>
      </c>
      <c r="P341" s="31" t="str">
        <f t="shared" si="26"/>
        <v>Heavy</v>
      </c>
      <c r="Q341" s="1">
        <v>10111.82</v>
      </c>
      <c r="R341" s="27" t="str">
        <f t="shared" si="27"/>
        <v>Not</v>
      </c>
      <c r="S341" s="29" t="str">
        <f t="shared" si="28"/>
        <v>Excellent</v>
      </c>
      <c r="T341" s="33" t="str">
        <f t="shared" si="29"/>
        <v>Priority order</v>
      </c>
      <c r="V341" s="15"/>
    </row>
    <row r="342" spans="1:22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25" t="str">
        <f t="shared" si="25"/>
        <v>Online</v>
      </c>
      <c r="I342" s="1" t="s">
        <v>35</v>
      </c>
      <c r="J342" s="1" t="s">
        <v>49</v>
      </c>
      <c r="K342" s="1" t="s">
        <v>51</v>
      </c>
      <c r="L342" s="1" t="s">
        <v>28</v>
      </c>
      <c r="M342" s="1">
        <v>4</v>
      </c>
      <c r="N342" s="1">
        <v>641.92999999999995</v>
      </c>
      <c r="O342" s="1">
        <v>0</v>
      </c>
      <c r="P342" s="31" t="str">
        <f t="shared" si="26"/>
        <v>Normal</v>
      </c>
      <c r="Q342" s="1">
        <v>2567.7199999999998</v>
      </c>
      <c r="R342" s="27" t="str">
        <f t="shared" si="27"/>
        <v>Not</v>
      </c>
      <c r="S342" s="29" t="str">
        <f t="shared" si="28"/>
        <v>Average</v>
      </c>
      <c r="T342" s="33" t="str">
        <f t="shared" si="29"/>
        <v xml:space="preserve">Normal </v>
      </c>
      <c r="V342" s="15"/>
    </row>
    <row r="343" spans="1:22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25" t="str">
        <f t="shared" si="25"/>
        <v>Online</v>
      </c>
      <c r="I343" s="1" t="s">
        <v>35</v>
      </c>
      <c r="J343" s="1" t="s">
        <v>26</v>
      </c>
      <c r="K343" s="1" t="s">
        <v>27</v>
      </c>
      <c r="L343" s="1" t="s">
        <v>47</v>
      </c>
      <c r="M343" s="1">
        <v>5</v>
      </c>
      <c r="N343" s="1">
        <v>1853.11</v>
      </c>
      <c r="O343" s="1">
        <v>10</v>
      </c>
      <c r="P343" s="31" t="str">
        <f t="shared" si="26"/>
        <v>Heavy</v>
      </c>
      <c r="Q343" s="1">
        <v>8338.99</v>
      </c>
      <c r="R343" s="27" t="str">
        <f t="shared" si="27"/>
        <v>Not</v>
      </c>
      <c r="S343" s="29" t="str">
        <f t="shared" si="28"/>
        <v>Excellent</v>
      </c>
      <c r="T343" s="33" t="str">
        <f t="shared" si="29"/>
        <v>Priority order</v>
      </c>
      <c r="V343" s="15"/>
    </row>
    <row r="344" spans="1:22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25" t="str">
        <f t="shared" si="25"/>
        <v>Online</v>
      </c>
      <c r="I344" s="1" t="s">
        <v>18</v>
      </c>
      <c r="J344" s="1" t="s">
        <v>49</v>
      </c>
      <c r="K344" s="1" t="s">
        <v>51</v>
      </c>
      <c r="L344" s="1" t="s">
        <v>21</v>
      </c>
      <c r="M344" s="1">
        <v>7</v>
      </c>
      <c r="N344" s="1">
        <v>313.51</v>
      </c>
      <c r="O344" s="1">
        <v>0</v>
      </c>
      <c r="P344" s="31" t="str">
        <f t="shared" si="26"/>
        <v>Normal</v>
      </c>
      <c r="Q344" s="1">
        <v>2194.5700000000002</v>
      </c>
      <c r="R344" s="27" t="str">
        <f t="shared" si="27"/>
        <v>Not</v>
      </c>
      <c r="S344" s="29" t="str">
        <f t="shared" si="28"/>
        <v>Average</v>
      </c>
      <c r="T344" s="33" t="str">
        <f t="shared" si="29"/>
        <v>Priority order</v>
      </c>
      <c r="V344" s="15"/>
    </row>
    <row r="345" spans="1:22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25" t="str">
        <f t="shared" si="25"/>
        <v>Marketplace</v>
      </c>
      <c r="I345" s="1" t="s">
        <v>44</v>
      </c>
      <c r="J345" s="1" t="s">
        <v>52</v>
      </c>
      <c r="K345" s="1" t="s">
        <v>56</v>
      </c>
      <c r="L345" s="1" t="s">
        <v>33</v>
      </c>
      <c r="M345" s="1">
        <v>4</v>
      </c>
      <c r="N345" s="1">
        <v>2785.81</v>
      </c>
      <c r="O345" s="1">
        <v>20</v>
      </c>
      <c r="P345" s="31" t="str">
        <f t="shared" si="26"/>
        <v>Heavy</v>
      </c>
      <c r="Q345" s="1">
        <v>8914.59</v>
      </c>
      <c r="R345" s="27" t="str">
        <f t="shared" si="27"/>
        <v>Not</v>
      </c>
      <c r="S345" s="29" t="str">
        <f t="shared" si="28"/>
        <v>Excellent</v>
      </c>
      <c r="T345" s="33" t="str">
        <f t="shared" si="29"/>
        <v>Priority order</v>
      </c>
      <c r="V345" s="15"/>
    </row>
    <row r="346" spans="1:22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25" t="str">
        <f t="shared" si="25"/>
        <v>Marketplace</v>
      </c>
      <c r="I346" s="1" t="s">
        <v>42</v>
      </c>
      <c r="J346" s="1" t="s">
        <v>26</v>
      </c>
      <c r="K346" s="1" t="s">
        <v>36</v>
      </c>
      <c r="L346" s="1" t="s">
        <v>45</v>
      </c>
      <c r="M346" s="1">
        <v>1</v>
      </c>
      <c r="N346" s="1">
        <v>3625.42</v>
      </c>
      <c r="O346" s="1">
        <v>10</v>
      </c>
      <c r="P346" s="31" t="str">
        <f t="shared" si="26"/>
        <v>Heavy</v>
      </c>
      <c r="Q346" s="1">
        <v>3262.88</v>
      </c>
      <c r="R346" s="27" t="str">
        <f t="shared" si="27"/>
        <v>Not</v>
      </c>
      <c r="S346" s="29" t="str">
        <f t="shared" si="28"/>
        <v>Average</v>
      </c>
      <c r="T346" s="33" t="str">
        <f t="shared" si="29"/>
        <v xml:space="preserve">Normal </v>
      </c>
      <c r="V346" s="15"/>
    </row>
    <row r="347" spans="1:22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25" t="str">
        <f t="shared" si="25"/>
        <v>Online</v>
      </c>
      <c r="I347" s="1" t="s">
        <v>18</v>
      </c>
      <c r="J347" s="1" t="s">
        <v>26</v>
      </c>
      <c r="K347" s="1" t="s">
        <v>36</v>
      </c>
      <c r="L347" s="1" t="s">
        <v>47</v>
      </c>
      <c r="M347" s="1">
        <v>9</v>
      </c>
      <c r="N347" s="1">
        <v>3373.46</v>
      </c>
      <c r="O347" s="1">
        <v>10</v>
      </c>
      <c r="P347" s="31" t="str">
        <f t="shared" si="26"/>
        <v>Heavy</v>
      </c>
      <c r="Q347" s="1">
        <v>27325.03</v>
      </c>
      <c r="R347" s="27" t="str">
        <f t="shared" si="27"/>
        <v>Not</v>
      </c>
      <c r="S347" s="29" t="str">
        <f t="shared" si="28"/>
        <v>Excellent</v>
      </c>
      <c r="T347" s="33" t="str">
        <f t="shared" si="29"/>
        <v>Priority order</v>
      </c>
      <c r="V347" s="15"/>
    </row>
    <row r="348" spans="1:22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25" t="str">
        <f t="shared" si="25"/>
        <v>Online</v>
      </c>
      <c r="I348" s="1" t="s">
        <v>44</v>
      </c>
      <c r="J348" s="1" t="s">
        <v>19</v>
      </c>
      <c r="K348" s="1" t="s">
        <v>20</v>
      </c>
      <c r="L348" s="1" t="s">
        <v>45</v>
      </c>
      <c r="M348" s="1">
        <v>4</v>
      </c>
      <c r="N348" s="1">
        <v>640.37</v>
      </c>
      <c r="O348" s="1">
        <v>20</v>
      </c>
      <c r="P348" s="31" t="str">
        <f t="shared" si="26"/>
        <v>Heavy</v>
      </c>
      <c r="Q348" s="1">
        <v>2049.1799999999998</v>
      </c>
      <c r="R348" s="27" t="str">
        <f t="shared" si="27"/>
        <v>Not</v>
      </c>
      <c r="S348" s="29" t="str">
        <f t="shared" si="28"/>
        <v>Average</v>
      </c>
      <c r="T348" s="33" t="str">
        <f t="shared" si="29"/>
        <v xml:space="preserve">Normal </v>
      </c>
      <c r="V348" s="15"/>
    </row>
    <row r="349" spans="1:22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25" t="str">
        <f t="shared" si="25"/>
        <v>Online</v>
      </c>
      <c r="I349" s="1" t="s">
        <v>42</v>
      </c>
      <c r="J349" s="1" t="s">
        <v>49</v>
      </c>
      <c r="K349" s="1" t="s">
        <v>68</v>
      </c>
      <c r="L349" s="1" t="s">
        <v>47</v>
      </c>
      <c r="M349" s="1">
        <v>9</v>
      </c>
      <c r="N349" s="1">
        <v>636.14</v>
      </c>
      <c r="O349" s="1">
        <v>20</v>
      </c>
      <c r="P349" s="31" t="str">
        <f t="shared" si="26"/>
        <v>Heavy</v>
      </c>
      <c r="Q349" s="1">
        <v>4580.21</v>
      </c>
      <c r="R349" s="27" t="str">
        <f t="shared" si="27"/>
        <v>Not</v>
      </c>
      <c r="S349" s="29" t="str">
        <f t="shared" si="28"/>
        <v>Good</v>
      </c>
      <c r="T349" s="33" t="str">
        <f t="shared" si="29"/>
        <v>Priority order</v>
      </c>
      <c r="V349" s="15"/>
    </row>
    <row r="350" spans="1:22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25" t="str">
        <f t="shared" si="25"/>
        <v>Marketplace</v>
      </c>
      <c r="I350" s="1" t="s">
        <v>25</v>
      </c>
      <c r="J350" s="1" t="s">
        <v>19</v>
      </c>
      <c r="K350" s="1" t="s">
        <v>55</v>
      </c>
      <c r="L350" s="1" t="s">
        <v>47</v>
      </c>
      <c r="M350" s="1">
        <v>6</v>
      </c>
      <c r="N350" s="1">
        <v>3281.72</v>
      </c>
      <c r="O350" s="1">
        <v>5</v>
      </c>
      <c r="P350" s="31" t="str">
        <f t="shared" si="26"/>
        <v>Heavy</v>
      </c>
      <c r="Q350" s="1">
        <v>18705.8</v>
      </c>
      <c r="R350" s="27" t="str">
        <f t="shared" si="27"/>
        <v>Eligible</v>
      </c>
      <c r="S350" s="29" t="str">
        <f t="shared" si="28"/>
        <v>Excellent</v>
      </c>
      <c r="T350" s="33" t="str">
        <f t="shared" si="29"/>
        <v>Priority order</v>
      </c>
      <c r="V350" s="15"/>
    </row>
    <row r="351" spans="1:22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25" t="str">
        <f t="shared" si="25"/>
        <v>Online</v>
      </c>
      <c r="I351" s="1" t="s">
        <v>44</v>
      </c>
      <c r="J351" s="1" t="s">
        <v>57</v>
      </c>
      <c r="K351" s="1" t="s">
        <v>62</v>
      </c>
      <c r="L351" s="1" t="s">
        <v>21</v>
      </c>
      <c r="M351" s="1">
        <v>1</v>
      </c>
      <c r="N351" s="1">
        <v>3708.38</v>
      </c>
      <c r="O351" s="1">
        <v>20</v>
      </c>
      <c r="P351" s="31" t="str">
        <f t="shared" si="26"/>
        <v>Heavy</v>
      </c>
      <c r="Q351" s="1">
        <v>2966.7</v>
      </c>
      <c r="R351" s="27" t="str">
        <f t="shared" si="27"/>
        <v>Not</v>
      </c>
      <c r="S351" s="29" t="str">
        <f t="shared" si="28"/>
        <v>Average</v>
      </c>
      <c r="T351" s="33" t="str">
        <f t="shared" si="29"/>
        <v xml:space="preserve">Normal </v>
      </c>
      <c r="V351" s="15"/>
    </row>
    <row r="352" spans="1:22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25" t="str">
        <f t="shared" si="25"/>
        <v>Marketplace</v>
      </c>
      <c r="I352" s="1" t="s">
        <v>35</v>
      </c>
      <c r="J352" s="1" t="s">
        <v>31</v>
      </c>
      <c r="K352" s="1" t="s">
        <v>32</v>
      </c>
      <c r="L352" s="1" t="s">
        <v>45</v>
      </c>
      <c r="M352" s="1">
        <v>3</v>
      </c>
      <c r="N352" s="1">
        <v>1923.58</v>
      </c>
      <c r="O352" s="1">
        <v>15</v>
      </c>
      <c r="P352" s="31" t="str">
        <f t="shared" si="26"/>
        <v>Heavy</v>
      </c>
      <c r="Q352" s="1">
        <v>4905.13</v>
      </c>
      <c r="R352" s="27" t="str">
        <f t="shared" si="27"/>
        <v>Not</v>
      </c>
      <c r="S352" s="29" t="str">
        <f t="shared" si="28"/>
        <v>Good</v>
      </c>
      <c r="T352" s="33" t="str">
        <f t="shared" si="29"/>
        <v xml:space="preserve">Normal </v>
      </c>
      <c r="V352" s="15"/>
    </row>
    <row r="353" spans="1:22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25" t="str">
        <f t="shared" si="25"/>
        <v>Marketplace</v>
      </c>
      <c r="I353" s="1" t="s">
        <v>18</v>
      </c>
      <c r="J353" s="1" t="s">
        <v>26</v>
      </c>
      <c r="K353" s="1" t="s">
        <v>36</v>
      </c>
      <c r="L353" s="1" t="s">
        <v>45</v>
      </c>
      <c r="M353" s="1">
        <v>2</v>
      </c>
      <c r="N353" s="1">
        <v>2071.04</v>
      </c>
      <c r="O353" s="1">
        <v>20</v>
      </c>
      <c r="P353" s="31" t="str">
        <f t="shared" si="26"/>
        <v>Heavy</v>
      </c>
      <c r="Q353" s="1">
        <v>3313.66</v>
      </c>
      <c r="R353" s="27" t="str">
        <f t="shared" si="27"/>
        <v>Not</v>
      </c>
      <c r="S353" s="29" t="str">
        <f t="shared" si="28"/>
        <v>Average</v>
      </c>
      <c r="T353" s="33" t="str">
        <f t="shared" si="29"/>
        <v xml:space="preserve">Normal </v>
      </c>
      <c r="V353" s="15"/>
    </row>
    <row r="354" spans="1:22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25" t="str">
        <f t="shared" si="25"/>
        <v>Marketplace</v>
      </c>
      <c r="I354" s="1" t="s">
        <v>44</v>
      </c>
      <c r="J354" s="1" t="s">
        <v>57</v>
      </c>
      <c r="K354" s="1" t="s">
        <v>67</v>
      </c>
      <c r="L354" s="1" t="s">
        <v>33</v>
      </c>
      <c r="M354" s="1">
        <v>9</v>
      </c>
      <c r="N354" s="1">
        <v>1375.31</v>
      </c>
      <c r="O354" s="1">
        <v>15</v>
      </c>
      <c r="P354" s="31" t="str">
        <f t="shared" si="26"/>
        <v>Heavy</v>
      </c>
      <c r="Q354" s="1">
        <v>10521.12</v>
      </c>
      <c r="R354" s="27" t="str">
        <f t="shared" si="27"/>
        <v>Not</v>
      </c>
      <c r="S354" s="29" t="str">
        <f t="shared" si="28"/>
        <v>Excellent</v>
      </c>
      <c r="T354" s="33" t="str">
        <f t="shared" si="29"/>
        <v>Priority order</v>
      </c>
      <c r="V354" s="15"/>
    </row>
    <row r="355" spans="1:22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25" t="str">
        <f t="shared" si="25"/>
        <v>Online</v>
      </c>
      <c r="I355" s="1" t="s">
        <v>44</v>
      </c>
      <c r="J355" s="1" t="s">
        <v>57</v>
      </c>
      <c r="K355" s="1" t="s">
        <v>58</v>
      </c>
      <c r="L355" s="1" t="s">
        <v>33</v>
      </c>
      <c r="M355" s="1">
        <v>1</v>
      </c>
      <c r="N355" s="1">
        <v>3592.92</v>
      </c>
      <c r="O355" s="1">
        <v>20</v>
      </c>
      <c r="P355" s="31" t="str">
        <f t="shared" si="26"/>
        <v>Heavy</v>
      </c>
      <c r="Q355" s="1">
        <v>2874.34</v>
      </c>
      <c r="R355" s="27" t="str">
        <f t="shared" si="27"/>
        <v>Not</v>
      </c>
      <c r="S355" s="29" t="str">
        <f t="shared" si="28"/>
        <v>Average</v>
      </c>
      <c r="T355" s="33" t="str">
        <f t="shared" si="29"/>
        <v xml:space="preserve">Normal </v>
      </c>
      <c r="V355" s="15"/>
    </row>
    <row r="356" spans="1:22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25" t="str">
        <f t="shared" si="25"/>
        <v>Marketplace</v>
      </c>
      <c r="I356" s="1" t="s">
        <v>35</v>
      </c>
      <c r="J356" s="1" t="s">
        <v>52</v>
      </c>
      <c r="K356" s="1" t="s">
        <v>53</v>
      </c>
      <c r="L356" s="1" t="s">
        <v>21</v>
      </c>
      <c r="M356" s="1">
        <v>9</v>
      </c>
      <c r="N356" s="1">
        <v>2632.88</v>
      </c>
      <c r="O356" s="1">
        <v>5</v>
      </c>
      <c r="P356" s="31" t="str">
        <f t="shared" si="26"/>
        <v>Heavy</v>
      </c>
      <c r="Q356" s="1">
        <v>22511.119999999999</v>
      </c>
      <c r="R356" s="27" t="str">
        <f t="shared" si="27"/>
        <v>Eligible</v>
      </c>
      <c r="S356" s="29" t="str">
        <f t="shared" si="28"/>
        <v>Excellent</v>
      </c>
      <c r="T356" s="33" t="str">
        <f t="shared" si="29"/>
        <v>Priority order</v>
      </c>
      <c r="V356" s="15"/>
    </row>
    <row r="357" spans="1:22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25" t="str">
        <f t="shared" si="25"/>
        <v>Marketplace</v>
      </c>
      <c r="I357" s="1" t="s">
        <v>42</v>
      </c>
      <c r="J357" s="1" t="s">
        <v>31</v>
      </c>
      <c r="K357" s="1" t="s">
        <v>48</v>
      </c>
      <c r="L357" s="1" t="s">
        <v>21</v>
      </c>
      <c r="M357" s="1">
        <v>9</v>
      </c>
      <c r="N357" s="1">
        <v>1259.77</v>
      </c>
      <c r="O357" s="1">
        <v>15</v>
      </c>
      <c r="P357" s="31" t="str">
        <f t="shared" si="26"/>
        <v>Heavy</v>
      </c>
      <c r="Q357" s="1">
        <v>9637.24</v>
      </c>
      <c r="R357" s="27" t="str">
        <f t="shared" si="27"/>
        <v>Not</v>
      </c>
      <c r="S357" s="29" t="str">
        <f t="shared" si="28"/>
        <v>Excellent</v>
      </c>
      <c r="T357" s="33" t="str">
        <f t="shared" si="29"/>
        <v>Priority order</v>
      </c>
      <c r="V357" s="15"/>
    </row>
    <row r="358" spans="1:22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25" t="str">
        <f t="shared" si="25"/>
        <v>Online</v>
      </c>
      <c r="I358" s="1" t="s">
        <v>25</v>
      </c>
      <c r="J358" s="1" t="s">
        <v>57</v>
      </c>
      <c r="K358" s="1" t="s">
        <v>58</v>
      </c>
      <c r="L358" s="1" t="s">
        <v>28</v>
      </c>
      <c r="M358" s="1">
        <v>8</v>
      </c>
      <c r="N358" s="1">
        <v>1300.31</v>
      </c>
      <c r="O358" s="1">
        <v>0</v>
      </c>
      <c r="P358" s="31" t="str">
        <f t="shared" si="26"/>
        <v>Normal</v>
      </c>
      <c r="Q358" s="1">
        <v>10402.48</v>
      </c>
      <c r="R358" s="27" t="str">
        <f t="shared" si="27"/>
        <v>Eligible</v>
      </c>
      <c r="S358" s="29" t="str">
        <f t="shared" si="28"/>
        <v>Excellent</v>
      </c>
      <c r="T358" s="33" t="str">
        <f t="shared" si="29"/>
        <v>Priority order</v>
      </c>
      <c r="V358" s="15"/>
    </row>
    <row r="359" spans="1:22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25" t="str">
        <f t="shared" si="25"/>
        <v>Marketplace</v>
      </c>
      <c r="I359" s="1" t="s">
        <v>35</v>
      </c>
      <c r="J359" s="1" t="s">
        <v>57</v>
      </c>
      <c r="K359" s="1" t="s">
        <v>58</v>
      </c>
      <c r="L359" s="1" t="s">
        <v>33</v>
      </c>
      <c r="M359" s="1">
        <v>8</v>
      </c>
      <c r="N359" s="1">
        <v>3581.12</v>
      </c>
      <c r="O359" s="1">
        <v>15</v>
      </c>
      <c r="P359" s="31" t="str">
        <f t="shared" si="26"/>
        <v>Heavy</v>
      </c>
      <c r="Q359" s="1">
        <v>24351.62</v>
      </c>
      <c r="R359" s="27" t="str">
        <f t="shared" si="27"/>
        <v>Not</v>
      </c>
      <c r="S359" s="29" t="str">
        <f t="shared" si="28"/>
        <v>Excellent</v>
      </c>
      <c r="T359" s="33" t="str">
        <f t="shared" si="29"/>
        <v>Priority order</v>
      </c>
      <c r="V359" s="15"/>
    </row>
    <row r="360" spans="1:22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25" t="str">
        <f t="shared" si="25"/>
        <v>Online</v>
      </c>
      <c r="I360" s="1" t="s">
        <v>25</v>
      </c>
      <c r="J360" s="1" t="s">
        <v>31</v>
      </c>
      <c r="K360" s="1" t="s">
        <v>48</v>
      </c>
      <c r="L360" s="1" t="s">
        <v>47</v>
      </c>
      <c r="M360" s="1">
        <v>1</v>
      </c>
      <c r="N360" s="1">
        <v>202.49</v>
      </c>
      <c r="O360" s="1">
        <v>5</v>
      </c>
      <c r="P360" s="31" t="str">
        <f t="shared" si="26"/>
        <v>Heavy</v>
      </c>
      <c r="Q360" s="1">
        <v>192.37</v>
      </c>
      <c r="R360" s="27" t="str">
        <f t="shared" si="27"/>
        <v>Not</v>
      </c>
      <c r="S360" s="29" t="str">
        <f t="shared" si="28"/>
        <v>Average</v>
      </c>
      <c r="T360" s="33" t="str">
        <f t="shared" si="29"/>
        <v xml:space="preserve">Normal </v>
      </c>
      <c r="V360" s="15"/>
    </row>
    <row r="361" spans="1:22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25" t="str">
        <f t="shared" si="25"/>
        <v>Marketplace</v>
      </c>
      <c r="I361" s="1" t="s">
        <v>42</v>
      </c>
      <c r="J361" s="1" t="s">
        <v>31</v>
      </c>
      <c r="K361" s="1" t="s">
        <v>32</v>
      </c>
      <c r="L361" s="1" t="s">
        <v>45</v>
      </c>
      <c r="M361" s="1">
        <v>8</v>
      </c>
      <c r="N361" s="1">
        <v>1392.5</v>
      </c>
      <c r="O361" s="1">
        <v>15</v>
      </c>
      <c r="P361" s="31" t="str">
        <f t="shared" si="26"/>
        <v>Heavy</v>
      </c>
      <c r="Q361" s="1">
        <v>9469</v>
      </c>
      <c r="R361" s="27" t="str">
        <f t="shared" si="27"/>
        <v>Not</v>
      </c>
      <c r="S361" s="29" t="str">
        <f t="shared" si="28"/>
        <v>Excellent</v>
      </c>
      <c r="T361" s="33" t="str">
        <f t="shared" si="29"/>
        <v>Priority order</v>
      </c>
      <c r="V361" s="15"/>
    </row>
    <row r="362" spans="1:22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25" t="str">
        <f t="shared" si="25"/>
        <v>Online</v>
      </c>
      <c r="I362" s="1" t="s">
        <v>44</v>
      </c>
      <c r="J362" s="1" t="s">
        <v>57</v>
      </c>
      <c r="K362" s="1" t="s">
        <v>59</v>
      </c>
      <c r="L362" s="1" t="s">
        <v>21</v>
      </c>
      <c r="M362" s="1">
        <v>3</v>
      </c>
      <c r="N362" s="1">
        <v>2284.27</v>
      </c>
      <c r="O362" s="1">
        <v>20</v>
      </c>
      <c r="P362" s="31" t="str">
        <f t="shared" si="26"/>
        <v>Heavy</v>
      </c>
      <c r="Q362" s="1">
        <v>5482.25</v>
      </c>
      <c r="R362" s="27" t="str">
        <f t="shared" si="27"/>
        <v>Not</v>
      </c>
      <c r="S362" s="29" t="str">
        <f t="shared" si="28"/>
        <v>Good</v>
      </c>
      <c r="T362" s="33" t="str">
        <f t="shared" si="29"/>
        <v xml:space="preserve">Normal </v>
      </c>
      <c r="V362" s="15"/>
    </row>
    <row r="363" spans="1:22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25" t="str">
        <f t="shared" si="25"/>
        <v>Online</v>
      </c>
      <c r="I363" s="1" t="s">
        <v>25</v>
      </c>
      <c r="J363" s="1" t="s">
        <v>31</v>
      </c>
      <c r="K363" s="1" t="s">
        <v>48</v>
      </c>
      <c r="L363" s="1" t="s">
        <v>45</v>
      </c>
      <c r="M363" s="1">
        <v>7</v>
      </c>
      <c r="N363" s="1">
        <v>720.64</v>
      </c>
      <c r="O363" s="1">
        <v>20</v>
      </c>
      <c r="P363" s="31" t="str">
        <f t="shared" si="26"/>
        <v>Heavy</v>
      </c>
      <c r="Q363" s="1">
        <v>4035.58</v>
      </c>
      <c r="R363" s="27" t="str">
        <f t="shared" si="27"/>
        <v>Not</v>
      </c>
      <c r="S363" s="29" t="str">
        <f t="shared" si="28"/>
        <v>Good</v>
      </c>
      <c r="T363" s="33" t="str">
        <f t="shared" si="29"/>
        <v>Priority order</v>
      </c>
      <c r="V363" s="15"/>
    </row>
    <row r="364" spans="1:22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25" t="str">
        <f t="shared" si="25"/>
        <v>Marketplace</v>
      </c>
      <c r="I364" s="1" t="s">
        <v>18</v>
      </c>
      <c r="J364" s="1" t="s">
        <v>57</v>
      </c>
      <c r="K364" s="1" t="s">
        <v>62</v>
      </c>
      <c r="L364" s="1" t="s">
        <v>45</v>
      </c>
      <c r="M364" s="1">
        <v>1</v>
      </c>
      <c r="N364" s="1">
        <v>504.58</v>
      </c>
      <c r="O364" s="1">
        <v>5</v>
      </c>
      <c r="P364" s="31" t="str">
        <f t="shared" si="26"/>
        <v>Heavy</v>
      </c>
      <c r="Q364" s="1">
        <v>479.35</v>
      </c>
      <c r="R364" s="27" t="str">
        <f t="shared" si="27"/>
        <v>Not</v>
      </c>
      <c r="S364" s="29" t="str">
        <f t="shared" si="28"/>
        <v>Average</v>
      </c>
      <c r="T364" s="33" t="str">
        <f t="shared" si="29"/>
        <v xml:space="preserve">Normal </v>
      </c>
      <c r="V364" s="15"/>
    </row>
    <row r="365" spans="1:22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25" t="str">
        <f t="shared" si="25"/>
        <v>Online</v>
      </c>
      <c r="I365" s="1" t="s">
        <v>18</v>
      </c>
      <c r="J365" s="1" t="s">
        <v>57</v>
      </c>
      <c r="K365" s="1" t="s">
        <v>67</v>
      </c>
      <c r="L365" s="1" t="s">
        <v>28</v>
      </c>
      <c r="M365" s="1">
        <v>1</v>
      </c>
      <c r="N365" s="1">
        <v>3288.81</v>
      </c>
      <c r="O365" s="1">
        <v>10</v>
      </c>
      <c r="P365" s="31" t="str">
        <f t="shared" si="26"/>
        <v>Heavy</v>
      </c>
      <c r="Q365" s="1">
        <v>2959.93</v>
      </c>
      <c r="R365" s="27" t="str">
        <f t="shared" si="27"/>
        <v>Not</v>
      </c>
      <c r="S365" s="29" t="str">
        <f t="shared" si="28"/>
        <v>Average</v>
      </c>
      <c r="T365" s="33" t="str">
        <f t="shared" si="29"/>
        <v xml:space="preserve">Normal </v>
      </c>
      <c r="V365" s="15"/>
    </row>
    <row r="366" spans="1:22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25" t="str">
        <f t="shared" si="25"/>
        <v>Online</v>
      </c>
      <c r="I366" s="1" t="s">
        <v>35</v>
      </c>
      <c r="J366" s="1" t="s">
        <v>52</v>
      </c>
      <c r="K366" s="1" t="s">
        <v>53</v>
      </c>
      <c r="L366" s="1" t="s">
        <v>33</v>
      </c>
      <c r="M366" s="1">
        <v>5</v>
      </c>
      <c r="N366" s="1">
        <v>3593.46</v>
      </c>
      <c r="O366" s="1">
        <v>20</v>
      </c>
      <c r="P366" s="31" t="str">
        <f t="shared" si="26"/>
        <v>Heavy</v>
      </c>
      <c r="Q366" s="1">
        <v>14373.84</v>
      </c>
      <c r="R366" s="27" t="str">
        <f t="shared" si="27"/>
        <v>Not</v>
      </c>
      <c r="S366" s="29" t="str">
        <f t="shared" si="28"/>
        <v>Excellent</v>
      </c>
      <c r="T366" s="33" t="str">
        <f t="shared" si="29"/>
        <v>Priority order</v>
      </c>
      <c r="V366" s="15"/>
    </row>
    <row r="367" spans="1:22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25" t="str">
        <f t="shared" si="25"/>
        <v>Online</v>
      </c>
      <c r="I367" s="1" t="s">
        <v>42</v>
      </c>
      <c r="J367" s="1" t="s">
        <v>49</v>
      </c>
      <c r="K367" s="1" t="s">
        <v>63</v>
      </c>
      <c r="L367" s="1" t="s">
        <v>21</v>
      </c>
      <c r="M367" s="1">
        <v>5</v>
      </c>
      <c r="N367" s="1">
        <v>3320.88</v>
      </c>
      <c r="O367" s="1">
        <v>0</v>
      </c>
      <c r="P367" s="31" t="str">
        <f t="shared" si="26"/>
        <v>Normal</v>
      </c>
      <c r="Q367" s="1">
        <v>16604.400000000001</v>
      </c>
      <c r="R367" s="27" t="str">
        <f t="shared" si="27"/>
        <v>Eligible</v>
      </c>
      <c r="S367" s="29" t="str">
        <f t="shared" si="28"/>
        <v>Excellent</v>
      </c>
      <c r="T367" s="33" t="str">
        <f t="shared" si="29"/>
        <v>Priority order</v>
      </c>
      <c r="V367" s="15"/>
    </row>
    <row r="368" spans="1:22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25" t="str">
        <f t="shared" si="25"/>
        <v>Marketplace</v>
      </c>
      <c r="I368" s="1" t="s">
        <v>35</v>
      </c>
      <c r="J368" s="1" t="s">
        <v>57</v>
      </c>
      <c r="K368" s="1" t="s">
        <v>62</v>
      </c>
      <c r="L368" s="1" t="s">
        <v>45</v>
      </c>
      <c r="M368" s="1">
        <v>8</v>
      </c>
      <c r="N368" s="1">
        <v>3610.33</v>
      </c>
      <c r="O368" s="1">
        <v>5</v>
      </c>
      <c r="P368" s="31" t="str">
        <f t="shared" si="26"/>
        <v>Heavy</v>
      </c>
      <c r="Q368" s="1">
        <v>27438.51</v>
      </c>
      <c r="R368" s="27" t="str">
        <f t="shared" si="27"/>
        <v>Eligible</v>
      </c>
      <c r="S368" s="29" t="str">
        <f t="shared" si="28"/>
        <v>Excellent</v>
      </c>
      <c r="T368" s="33" t="str">
        <f t="shared" si="29"/>
        <v>Priority order</v>
      </c>
      <c r="V368" s="15"/>
    </row>
    <row r="369" spans="1:22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25" t="str">
        <f t="shared" si="25"/>
        <v>Marketplace</v>
      </c>
      <c r="I369" s="1" t="s">
        <v>35</v>
      </c>
      <c r="J369" s="1" t="s">
        <v>19</v>
      </c>
      <c r="K369" s="1" t="s">
        <v>20</v>
      </c>
      <c r="L369" s="1" t="s">
        <v>21</v>
      </c>
      <c r="M369" s="1">
        <v>7</v>
      </c>
      <c r="N369" s="1">
        <v>2279.48</v>
      </c>
      <c r="O369" s="1">
        <v>15</v>
      </c>
      <c r="P369" s="31" t="str">
        <f t="shared" si="26"/>
        <v>Heavy</v>
      </c>
      <c r="Q369" s="1">
        <v>13562.91</v>
      </c>
      <c r="R369" s="27" t="str">
        <f t="shared" si="27"/>
        <v>Not</v>
      </c>
      <c r="S369" s="29" t="str">
        <f t="shared" si="28"/>
        <v>Excellent</v>
      </c>
      <c r="T369" s="33" t="str">
        <f t="shared" si="29"/>
        <v>Priority order</v>
      </c>
      <c r="V369" s="15"/>
    </row>
    <row r="370" spans="1:22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25" t="str">
        <f t="shared" si="25"/>
        <v>Online</v>
      </c>
      <c r="I370" s="1" t="s">
        <v>35</v>
      </c>
      <c r="J370" s="1" t="s">
        <v>26</v>
      </c>
      <c r="K370" s="1" t="s">
        <v>36</v>
      </c>
      <c r="L370" s="1" t="s">
        <v>47</v>
      </c>
      <c r="M370" s="1">
        <v>8</v>
      </c>
      <c r="N370" s="1">
        <v>3277.19</v>
      </c>
      <c r="O370" s="1">
        <v>15</v>
      </c>
      <c r="P370" s="31" t="str">
        <f t="shared" si="26"/>
        <v>Heavy</v>
      </c>
      <c r="Q370" s="1">
        <v>22284.89</v>
      </c>
      <c r="R370" s="27" t="str">
        <f t="shared" si="27"/>
        <v>Not</v>
      </c>
      <c r="S370" s="29" t="str">
        <f t="shared" si="28"/>
        <v>Excellent</v>
      </c>
      <c r="T370" s="33" t="str">
        <f t="shared" si="29"/>
        <v>Priority order</v>
      </c>
      <c r="V370" s="15"/>
    </row>
    <row r="371" spans="1:22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25" t="str">
        <f t="shared" si="25"/>
        <v>Marketplace</v>
      </c>
      <c r="I371" s="1" t="s">
        <v>18</v>
      </c>
      <c r="J371" s="1" t="s">
        <v>49</v>
      </c>
      <c r="K371" s="1" t="s">
        <v>63</v>
      </c>
      <c r="L371" s="1" t="s">
        <v>28</v>
      </c>
      <c r="M371" s="1">
        <v>6</v>
      </c>
      <c r="N371" s="1">
        <v>1628.56</v>
      </c>
      <c r="O371" s="1">
        <v>0</v>
      </c>
      <c r="P371" s="31" t="str">
        <f t="shared" si="26"/>
        <v>Normal</v>
      </c>
      <c r="Q371" s="1">
        <v>9771.36</v>
      </c>
      <c r="R371" s="27" t="str">
        <f t="shared" si="27"/>
        <v>Eligible</v>
      </c>
      <c r="S371" s="29" t="str">
        <f t="shared" si="28"/>
        <v>Excellent</v>
      </c>
      <c r="T371" s="33" t="str">
        <f t="shared" si="29"/>
        <v>Priority order</v>
      </c>
      <c r="V371" s="15"/>
    </row>
    <row r="372" spans="1:22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25" t="str">
        <f t="shared" si="25"/>
        <v>Online</v>
      </c>
      <c r="I372" s="1" t="s">
        <v>18</v>
      </c>
      <c r="J372" s="1" t="s">
        <v>49</v>
      </c>
      <c r="K372" s="1" t="s">
        <v>68</v>
      </c>
      <c r="L372" s="1" t="s">
        <v>47</v>
      </c>
      <c r="M372" s="1">
        <v>6</v>
      </c>
      <c r="N372" s="1">
        <v>2715.13</v>
      </c>
      <c r="O372" s="1">
        <v>20</v>
      </c>
      <c r="P372" s="31" t="str">
        <f t="shared" si="26"/>
        <v>Heavy</v>
      </c>
      <c r="Q372" s="1">
        <v>13032.62</v>
      </c>
      <c r="R372" s="27" t="str">
        <f t="shared" si="27"/>
        <v>Not</v>
      </c>
      <c r="S372" s="29" t="str">
        <f t="shared" si="28"/>
        <v>Excellent</v>
      </c>
      <c r="T372" s="33" t="str">
        <f t="shared" si="29"/>
        <v>Priority order</v>
      </c>
      <c r="V372" s="15"/>
    </row>
    <row r="373" spans="1:22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25" t="str">
        <f t="shared" si="25"/>
        <v>Online</v>
      </c>
      <c r="I373" s="1" t="s">
        <v>35</v>
      </c>
      <c r="J373" s="1" t="s">
        <v>49</v>
      </c>
      <c r="K373" s="1" t="s">
        <v>63</v>
      </c>
      <c r="L373" s="1" t="s">
        <v>21</v>
      </c>
      <c r="M373" s="1">
        <v>2</v>
      </c>
      <c r="N373" s="1">
        <v>3957.02</v>
      </c>
      <c r="O373" s="1">
        <v>5</v>
      </c>
      <c r="P373" s="31" t="str">
        <f t="shared" si="26"/>
        <v>Heavy</v>
      </c>
      <c r="Q373" s="1">
        <v>7518.34</v>
      </c>
      <c r="R373" s="27" t="str">
        <f t="shared" si="27"/>
        <v>Eligible</v>
      </c>
      <c r="S373" s="29" t="str">
        <f t="shared" si="28"/>
        <v>Excellent</v>
      </c>
      <c r="T373" s="33" t="str">
        <f t="shared" si="29"/>
        <v>Priority order</v>
      </c>
      <c r="V373" s="15"/>
    </row>
    <row r="374" spans="1:22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25" t="str">
        <f t="shared" si="25"/>
        <v>Online</v>
      </c>
      <c r="I374" s="1" t="s">
        <v>18</v>
      </c>
      <c r="J374" s="1" t="s">
        <v>52</v>
      </c>
      <c r="K374" s="1" t="s">
        <v>53</v>
      </c>
      <c r="L374" s="1" t="s">
        <v>21</v>
      </c>
      <c r="M374" s="1">
        <v>6</v>
      </c>
      <c r="N374" s="1">
        <v>1019.05</v>
      </c>
      <c r="O374" s="1">
        <v>0</v>
      </c>
      <c r="P374" s="31" t="str">
        <f t="shared" si="26"/>
        <v>Normal</v>
      </c>
      <c r="Q374" s="1">
        <v>6114.3</v>
      </c>
      <c r="R374" s="27" t="str">
        <f t="shared" si="27"/>
        <v>Eligible</v>
      </c>
      <c r="S374" s="29" t="str">
        <f t="shared" si="28"/>
        <v>Good</v>
      </c>
      <c r="T374" s="33" t="str">
        <f t="shared" si="29"/>
        <v>Priority order</v>
      </c>
      <c r="V374" s="15"/>
    </row>
    <row r="375" spans="1:22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25" t="str">
        <f t="shared" si="25"/>
        <v>Online</v>
      </c>
      <c r="I375" s="1" t="s">
        <v>42</v>
      </c>
      <c r="J375" s="1" t="s">
        <v>57</v>
      </c>
      <c r="K375" s="1" t="s">
        <v>58</v>
      </c>
      <c r="L375" s="1" t="s">
        <v>33</v>
      </c>
      <c r="M375" s="1">
        <v>5</v>
      </c>
      <c r="N375" s="1">
        <v>1651.11</v>
      </c>
      <c r="O375" s="1">
        <v>20</v>
      </c>
      <c r="P375" s="31" t="str">
        <f t="shared" si="26"/>
        <v>Heavy</v>
      </c>
      <c r="Q375" s="1">
        <v>6604.44</v>
      </c>
      <c r="R375" s="27" t="str">
        <f t="shared" si="27"/>
        <v>Not</v>
      </c>
      <c r="S375" s="29" t="str">
        <f t="shared" si="28"/>
        <v>Good</v>
      </c>
      <c r="T375" s="33" t="str">
        <f t="shared" si="29"/>
        <v xml:space="preserve">Normal </v>
      </c>
      <c r="V375" s="15"/>
    </row>
    <row r="376" spans="1:22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25" t="str">
        <f t="shared" si="25"/>
        <v>Online</v>
      </c>
      <c r="I376" s="1" t="s">
        <v>35</v>
      </c>
      <c r="J376" s="1" t="s">
        <v>52</v>
      </c>
      <c r="K376" s="1" t="s">
        <v>60</v>
      </c>
      <c r="L376" s="1" t="s">
        <v>45</v>
      </c>
      <c r="M376" s="1">
        <v>3</v>
      </c>
      <c r="N376" s="1">
        <v>1998.18</v>
      </c>
      <c r="O376" s="1">
        <v>5</v>
      </c>
      <c r="P376" s="31" t="str">
        <f t="shared" si="26"/>
        <v>Heavy</v>
      </c>
      <c r="Q376" s="1">
        <v>5694.81</v>
      </c>
      <c r="R376" s="27" t="str">
        <f t="shared" si="27"/>
        <v>Eligible</v>
      </c>
      <c r="S376" s="29" t="str">
        <f t="shared" si="28"/>
        <v>Good</v>
      </c>
      <c r="T376" s="33" t="str">
        <f t="shared" si="29"/>
        <v xml:space="preserve">Normal </v>
      </c>
      <c r="V376" s="15"/>
    </row>
    <row r="377" spans="1:22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25" t="str">
        <f t="shared" si="25"/>
        <v>Marketplace</v>
      </c>
      <c r="I377" s="1" t="s">
        <v>18</v>
      </c>
      <c r="J377" s="1" t="s">
        <v>57</v>
      </c>
      <c r="K377" s="1" t="s">
        <v>59</v>
      </c>
      <c r="L377" s="1" t="s">
        <v>45</v>
      </c>
      <c r="M377" s="1">
        <v>6</v>
      </c>
      <c r="N377" s="1">
        <v>681.36</v>
      </c>
      <c r="O377" s="1">
        <v>15</v>
      </c>
      <c r="P377" s="31" t="str">
        <f t="shared" si="26"/>
        <v>Heavy</v>
      </c>
      <c r="Q377" s="1">
        <v>3474.94</v>
      </c>
      <c r="R377" s="27" t="str">
        <f t="shared" si="27"/>
        <v>Not</v>
      </c>
      <c r="S377" s="29" t="str">
        <f t="shared" si="28"/>
        <v>Average</v>
      </c>
      <c r="T377" s="33" t="str">
        <f t="shared" si="29"/>
        <v>Priority order</v>
      </c>
      <c r="V377" s="15"/>
    </row>
    <row r="378" spans="1:22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25" t="str">
        <f t="shared" si="25"/>
        <v>Online</v>
      </c>
      <c r="I378" s="1" t="s">
        <v>25</v>
      </c>
      <c r="J378" s="1" t="s">
        <v>52</v>
      </c>
      <c r="K378" s="1" t="s">
        <v>56</v>
      </c>
      <c r="L378" s="1" t="s">
        <v>47</v>
      </c>
      <c r="M378" s="1">
        <v>8</v>
      </c>
      <c r="N378" s="1">
        <v>462</v>
      </c>
      <c r="O378" s="1">
        <v>5</v>
      </c>
      <c r="P378" s="31" t="str">
        <f t="shared" si="26"/>
        <v>Heavy</v>
      </c>
      <c r="Q378" s="1">
        <v>3511.2</v>
      </c>
      <c r="R378" s="27" t="str">
        <f t="shared" si="27"/>
        <v>Not</v>
      </c>
      <c r="S378" s="29" t="str">
        <f t="shared" si="28"/>
        <v>Average</v>
      </c>
      <c r="T378" s="33" t="str">
        <f t="shared" si="29"/>
        <v>Priority order</v>
      </c>
      <c r="V378" s="15"/>
    </row>
    <row r="379" spans="1:22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25" t="str">
        <f t="shared" si="25"/>
        <v>Online</v>
      </c>
      <c r="I379" s="1" t="s">
        <v>35</v>
      </c>
      <c r="J379" s="1" t="s">
        <v>52</v>
      </c>
      <c r="K379" s="1" t="s">
        <v>64</v>
      </c>
      <c r="L379" s="1" t="s">
        <v>28</v>
      </c>
      <c r="M379" s="1">
        <v>9</v>
      </c>
      <c r="N379" s="1">
        <v>3344.43</v>
      </c>
      <c r="O379" s="1">
        <v>10</v>
      </c>
      <c r="P379" s="31" t="str">
        <f t="shared" si="26"/>
        <v>Heavy</v>
      </c>
      <c r="Q379" s="1">
        <v>27089.88</v>
      </c>
      <c r="R379" s="27" t="str">
        <f t="shared" si="27"/>
        <v>Not</v>
      </c>
      <c r="S379" s="29" t="str">
        <f t="shared" si="28"/>
        <v>Excellent</v>
      </c>
      <c r="T379" s="33" t="str">
        <f t="shared" si="29"/>
        <v>Priority order</v>
      </c>
      <c r="V379" s="15"/>
    </row>
    <row r="380" spans="1:22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25" t="str">
        <f t="shared" si="25"/>
        <v>Online</v>
      </c>
      <c r="I380" s="1" t="s">
        <v>35</v>
      </c>
      <c r="J380" s="1" t="s">
        <v>26</v>
      </c>
      <c r="K380" s="1" t="s">
        <v>69</v>
      </c>
      <c r="L380" s="1" t="s">
        <v>45</v>
      </c>
      <c r="M380" s="1">
        <v>1</v>
      </c>
      <c r="N380" s="1">
        <v>3910.66</v>
      </c>
      <c r="O380" s="1">
        <v>5</v>
      </c>
      <c r="P380" s="31" t="str">
        <f t="shared" si="26"/>
        <v>Heavy</v>
      </c>
      <c r="Q380" s="1">
        <v>3715.13</v>
      </c>
      <c r="R380" s="27" t="str">
        <f t="shared" si="27"/>
        <v>Not</v>
      </c>
      <c r="S380" s="29" t="str">
        <f t="shared" si="28"/>
        <v>Average</v>
      </c>
      <c r="T380" s="33" t="str">
        <f t="shared" si="29"/>
        <v xml:space="preserve">Normal </v>
      </c>
      <c r="V380" s="15"/>
    </row>
    <row r="381" spans="1:22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25" t="str">
        <f t="shared" si="25"/>
        <v>Online</v>
      </c>
      <c r="I381" s="1" t="s">
        <v>42</v>
      </c>
      <c r="J381" s="1" t="s">
        <v>19</v>
      </c>
      <c r="K381" s="1" t="s">
        <v>55</v>
      </c>
      <c r="L381" s="1" t="s">
        <v>33</v>
      </c>
      <c r="M381" s="1">
        <v>3</v>
      </c>
      <c r="N381" s="1">
        <v>1708.19</v>
      </c>
      <c r="O381" s="1">
        <v>10</v>
      </c>
      <c r="P381" s="31" t="str">
        <f t="shared" si="26"/>
        <v>Heavy</v>
      </c>
      <c r="Q381" s="1">
        <v>4612.1099999999997</v>
      </c>
      <c r="R381" s="27" t="str">
        <f t="shared" si="27"/>
        <v>Not</v>
      </c>
      <c r="S381" s="29" t="str">
        <f t="shared" si="28"/>
        <v>Good</v>
      </c>
      <c r="T381" s="33" t="str">
        <f t="shared" si="29"/>
        <v xml:space="preserve">Normal </v>
      </c>
      <c r="V381" s="15"/>
    </row>
    <row r="382" spans="1:22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25" t="str">
        <f t="shared" si="25"/>
        <v>Online</v>
      </c>
      <c r="I382" s="1" t="s">
        <v>44</v>
      </c>
      <c r="J382" s="1" t="s">
        <v>52</v>
      </c>
      <c r="K382" s="1" t="s">
        <v>56</v>
      </c>
      <c r="L382" s="1" t="s">
        <v>47</v>
      </c>
      <c r="M382" s="1">
        <v>3</v>
      </c>
      <c r="N382" s="1">
        <v>487.45</v>
      </c>
      <c r="O382" s="1">
        <v>5</v>
      </c>
      <c r="P382" s="31" t="str">
        <f t="shared" si="26"/>
        <v>Heavy</v>
      </c>
      <c r="Q382" s="1">
        <v>1389.23</v>
      </c>
      <c r="R382" s="27" t="str">
        <f t="shared" si="27"/>
        <v>Not</v>
      </c>
      <c r="S382" s="29" t="str">
        <f t="shared" si="28"/>
        <v>Average</v>
      </c>
      <c r="T382" s="33" t="str">
        <f t="shared" si="29"/>
        <v xml:space="preserve">Normal </v>
      </c>
      <c r="V382" s="15"/>
    </row>
    <row r="383" spans="1:22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25" t="str">
        <f t="shared" si="25"/>
        <v>Marketplace</v>
      </c>
      <c r="I383" s="1" t="s">
        <v>44</v>
      </c>
      <c r="J383" s="1" t="s">
        <v>26</v>
      </c>
      <c r="K383" s="1" t="s">
        <v>36</v>
      </c>
      <c r="L383" s="1" t="s">
        <v>47</v>
      </c>
      <c r="M383" s="1">
        <v>8</v>
      </c>
      <c r="N383" s="1">
        <v>403.38</v>
      </c>
      <c r="O383" s="1">
        <v>10</v>
      </c>
      <c r="P383" s="31" t="str">
        <f t="shared" si="26"/>
        <v>Heavy</v>
      </c>
      <c r="Q383" s="1">
        <v>2904.34</v>
      </c>
      <c r="R383" s="27" t="str">
        <f t="shared" si="27"/>
        <v>Not</v>
      </c>
      <c r="S383" s="29" t="str">
        <f t="shared" si="28"/>
        <v>Average</v>
      </c>
      <c r="T383" s="33" t="str">
        <f t="shared" si="29"/>
        <v>Priority order</v>
      </c>
      <c r="V383" s="15"/>
    </row>
    <row r="384" spans="1:22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25" t="str">
        <f t="shared" si="25"/>
        <v>Online</v>
      </c>
      <c r="I384" s="1" t="s">
        <v>42</v>
      </c>
      <c r="J384" s="1" t="s">
        <v>31</v>
      </c>
      <c r="K384" s="1" t="s">
        <v>48</v>
      </c>
      <c r="L384" s="1" t="s">
        <v>33</v>
      </c>
      <c r="M384" s="1">
        <v>1</v>
      </c>
      <c r="N384" s="1">
        <v>3581.58</v>
      </c>
      <c r="O384" s="1">
        <v>15</v>
      </c>
      <c r="P384" s="31" t="str">
        <f t="shared" si="26"/>
        <v>Heavy</v>
      </c>
      <c r="Q384" s="1">
        <v>3044.34</v>
      </c>
      <c r="R384" s="27" t="str">
        <f t="shared" si="27"/>
        <v>Not</v>
      </c>
      <c r="S384" s="29" t="str">
        <f t="shared" si="28"/>
        <v>Average</v>
      </c>
      <c r="T384" s="33" t="str">
        <f t="shared" si="29"/>
        <v xml:space="preserve">Normal </v>
      </c>
      <c r="V384" s="15"/>
    </row>
    <row r="385" spans="1:22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25" t="str">
        <f t="shared" si="25"/>
        <v>Online</v>
      </c>
      <c r="I385" s="1" t="s">
        <v>42</v>
      </c>
      <c r="J385" s="1" t="s">
        <v>19</v>
      </c>
      <c r="K385" s="1" t="s">
        <v>55</v>
      </c>
      <c r="L385" s="1" t="s">
        <v>28</v>
      </c>
      <c r="M385" s="1">
        <v>5</v>
      </c>
      <c r="N385" s="1">
        <v>1935.68</v>
      </c>
      <c r="O385" s="1">
        <v>20</v>
      </c>
      <c r="P385" s="31" t="str">
        <f t="shared" si="26"/>
        <v>Heavy</v>
      </c>
      <c r="Q385" s="1">
        <v>7742.72</v>
      </c>
      <c r="R385" s="27" t="str">
        <f t="shared" si="27"/>
        <v>Not</v>
      </c>
      <c r="S385" s="29" t="str">
        <f t="shared" si="28"/>
        <v>Excellent</v>
      </c>
      <c r="T385" s="33" t="str">
        <f t="shared" si="29"/>
        <v>Priority order</v>
      </c>
      <c r="V385" s="15"/>
    </row>
    <row r="386" spans="1:22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25" t="str">
        <f t="shared" si="25"/>
        <v>Online</v>
      </c>
      <c r="I386" s="1" t="s">
        <v>42</v>
      </c>
      <c r="J386" s="1" t="s">
        <v>52</v>
      </c>
      <c r="K386" s="1" t="s">
        <v>64</v>
      </c>
      <c r="L386" s="1" t="s">
        <v>33</v>
      </c>
      <c r="M386" s="1">
        <v>3</v>
      </c>
      <c r="N386" s="1">
        <v>1382.11</v>
      </c>
      <c r="O386" s="1">
        <v>10</v>
      </c>
      <c r="P386" s="31" t="str">
        <f t="shared" si="26"/>
        <v>Heavy</v>
      </c>
      <c r="Q386" s="1">
        <v>3731.7</v>
      </c>
      <c r="R386" s="27" t="str">
        <f t="shared" si="27"/>
        <v>Not</v>
      </c>
      <c r="S386" s="29" t="str">
        <f t="shared" si="28"/>
        <v>Average</v>
      </c>
      <c r="T386" s="33" t="str">
        <f t="shared" si="29"/>
        <v xml:space="preserve">Normal </v>
      </c>
      <c r="V386" s="15"/>
    </row>
    <row r="387" spans="1:22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25" t="str">
        <f t="shared" ref="H387:H450" si="30">IF(G387:G886&lt;&gt; "Marketplace","Online","Marketplace")</f>
        <v>Online</v>
      </c>
      <c r="I387" s="1" t="s">
        <v>44</v>
      </c>
      <c r="J387" s="1" t="s">
        <v>49</v>
      </c>
      <c r="K387" s="1" t="s">
        <v>68</v>
      </c>
      <c r="L387" s="1" t="s">
        <v>28</v>
      </c>
      <c r="M387" s="1">
        <v>2</v>
      </c>
      <c r="N387" s="1">
        <v>1984.38</v>
      </c>
      <c r="O387" s="1">
        <v>10</v>
      </c>
      <c r="P387" s="31" t="str">
        <f t="shared" ref="P387:P450" si="31">IF(O387&gt;10%,"Heavy","Normal")</f>
        <v>Heavy</v>
      </c>
      <c r="Q387" s="1">
        <v>3571.88</v>
      </c>
      <c r="R387" s="27" t="str">
        <f t="shared" ref="R387:R450" si="32">IF(AND($Q$2:$Q$501 &gt; 5000, $O$2:$O$501&lt;10),"Eligible","Not")</f>
        <v>Not</v>
      </c>
      <c r="S387" s="29" t="str">
        <f t="shared" ref="S387:S450" si="33">IF(Q387&gt;=7000,"Excellent",(IF(Q387&gt;=4000,"Good","Average")))</f>
        <v>Average</v>
      </c>
      <c r="T387" s="33" t="str">
        <f t="shared" ref="T387:T450" si="34">IF(OR(Q387&gt;7000,M387&gt;5),"Priority order","Normal ")</f>
        <v xml:space="preserve">Normal </v>
      </c>
      <c r="V387" s="15"/>
    </row>
    <row r="388" spans="1:22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25" t="str">
        <f t="shared" si="30"/>
        <v>Online</v>
      </c>
      <c r="I388" s="1" t="s">
        <v>42</v>
      </c>
      <c r="J388" s="1" t="s">
        <v>31</v>
      </c>
      <c r="K388" s="1" t="s">
        <v>32</v>
      </c>
      <c r="L388" s="1" t="s">
        <v>33</v>
      </c>
      <c r="M388" s="1">
        <v>8</v>
      </c>
      <c r="N388" s="1">
        <v>1375.47</v>
      </c>
      <c r="O388" s="1">
        <v>15</v>
      </c>
      <c r="P388" s="31" t="str">
        <f t="shared" si="31"/>
        <v>Heavy</v>
      </c>
      <c r="Q388" s="1">
        <v>9353.2000000000007</v>
      </c>
      <c r="R388" s="27" t="str">
        <f t="shared" si="32"/>
        <v>Not</v>
      </c>
      <c r="S388" s="29" t="str">
        <f t="shared" si="33"/>
        <v>Excellent</v>
      </c>
      <c r="T388" s="33" t="str">
        <f t="shared" si="34"/>
        <v>Priority order</v>
      </c>
      <c r="V388" s="15"/>
    </row>
    <row r="389" spans="1:22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25" t="str">
        <f t="shared" si="30"/>
        <v>Marketplace</v>
      </c>
      <c r="I389" s="1" t="s">
        <v>18</v>
      </c>
      <c r="J389" s="1" t="s">
        <v>31</v>
      </c>
      <c r="K389" s="1" t="s">
        <v>39</v>
      </c>
      <c r="L389" s="1" t="s">
        <v>33</v>
      </c>
      <c r="M389" s="1">
        <v>3</v>
      </c>
      <c r="N389" s="1">
        <v>2032.79</v>
      </c>
      <c r="O389" s="1">
        <v>10</v>
      </c>
      <c r="P389" s="31" t="str">
        <f t="shared" si="31"/>
        <v>Heavy</v>
      </c>
      <c r="Q389" s="1">
        <v>5488.53</v>
      </c>
      <c r="R389" s="27" t="str">
        <f t="shared" si="32"/>
        <v>Not</v>
      </c>
      <c r="S389" s="29" t="str">
        <f t="shared" si="33"/>
        <v>Good</v>
      </c>
      <c r="T389" s="33" t="str">
        <f t="shared" si="34"/>
        <v xml:space="preserve">Normal </v>
      </c>
      <c r="V389" s="15"/>
    </row>
    <row r="390" spans="1:22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25" t="str">
        <f t="shared" si="30"/>
        <v>Online</v>
      </c>
      <c r="I390" s="1" t="s">
        <v>35</v>
      </c>
      <c r="J390" s="1" t="s">
        <v>26</v>
      </c>
      <c r="K390" s="1" t="s">
        <v>69</v>
      </c>
      <c r="L390" s="1" t="s">
        <v>21</v>
      </c>
      <c r="M390" s="1">
        <v>7</v>
      </c>
      <c r="N390" s="1">
        <v>3459.29</v>
      </c>
      <c r="O390" s="1">
        <v>0</v>
      </c>
      <c r="P390" s="31" t="str">
        <f t="shared" si="31"/>
        <v>Normal</v>
      </c>
      <c r="Q390" s="1">
        <v>24215.03</v>
      </c>
      <c r="R390" s="27" t="str">
        <f t="shared" si="32"/>
        <v>Eligible</v>
      </c>
      <c r="S390" s="29" t="str">
        <f t="shared" si="33"/>
        <v>Excellent</v>
      </c>
      <c r="T390" s="33" t="str">
        <f t="shared" si="34"/>
        <v>Priority order</v>
      </c>
      <c r="V390" s="15"/>
    </row>
    <row r="391" spans="1:22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25" t="str">
        <f t="shared" si="30"/>
        <v>Online</v>
      </c>
      <c r="I391" s="1" t="s">
        <v>35</v>
      </c>
      <c r="J391" s="1" t="s">
        <v>31</v>
      </c>
      <c r="K391" s="1" t="s">
        <v>48</v>
      </c>
      <c r="L391" s="1" t="s">
        <v>47</v>
      </c>
      <c r="M391" s="1">
        <v>1</v>
      </c>
      <c r="N391" s="1">
        <v>2430.36</v>
      </c>
      <c r="O391" s="1">
        <v>15</v>
      </c>
      <c r="P391" s="31" t="str">
        <f t="shared" si="31"/>
        <v>Heavy</v>
      </c>
      <c r="Q391" s="1">
        <v>2065.81</v>
      </c>
      <c r="R391" s="27" t="str">
        <f t="shared" si="32"/>
        <v>Not</v>
      </c>
      <c r="S391" s="29" t="str">
        <f t="shared" si="33"/>
        <v>Average</v>
      </c>
      <c r="T391" s="33" t="str">
        <f t="shared" si="34"/>
        <v xml:space="preserve">Normal </v>
      </c>
      <c r="V391" s="15"/>
    </row>
    <row r="392" spans="1:22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25" t="str">
        <f t="shared" si="30"/>
        <v>Marketplace</v>
      </c>
      <c r="I392" s="1" t="s">
        <v>25</v>
      </c>
      <c r="J392" s="1" t="s">
        <v>19</v>
      </c>
      <c r="K392" s="1" t="s">
        <v>66</v>
      </c>
      <c r="L392" s="1" t="s">
        <v>33</v>
      </c>
      <c r="M392" s="1">
        <v>6</v>
      </c>
      <c r="N392" s="1">
        <v>2824.42</v>
      </c>
      <c r="O392" s="1">
        <v>0</v>
      </c>
      <c r="P392" s="31" t="str">
        <f t="shared" si="31"/>
        <v>Normal</v>
      </c>
      <c r="Q392" s="1">
        <v>16946.52</v>
      </c>
      <c r="R392" s="27" t="str">
        <f t="shared" si="32"/>
        <v>Eligible</v>
      </c>
      <c r="S392" s="29" t="str">
        <f t="shared" si="33"/>
        <v>Excellent</v>
      </c>
      <c r="T392" s="33" t="str">
        <f t="shared" si="34"/>
        <v>Priority order</v>
      </c>
      <c r="V392" s="15"/>
    </row>
    <row r="393" spans="1:22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25" t="str">
        <f t="shared" si="30"/>
        <v>Online</v>
      </c>
      <c r="I393" s="1" t="s">
        <v>25</v>
      </c>
      <c r="J393" s="1" t="s">
        <v>52</v>
      </c>
      <c r="K393" s="1" t="s">
        <v>60</v>
      </c>
      <c r="L393" s="1" t="s">
        <v>33</v>
      </c>
      <c r="M393" s="1">
        <v>3</v>
      </c>
      <c r="N393" s="1">
        <v>1553.98</v>
      </c>
      <c r="O393" s="1">
        <v>15</v>
      </c>
      <c r="P393" s="31" t="str">
        <f t="shared" si="31"/>
        <v>Heavy</v>
      </c>
      <c r="Q393" s="1">
        <v>3962.65</v>
      </c>
      <c r="R393" s="27" t="str">
        <f t="shared" si="32"/>
        <v>Not</v>
      </c>
      <c r="S393" s="29" t="str">
        <f t="shared" si="33"/>
        <v>Average</v>
      </c>
      <c r="T393" s="33" t="str">
        <f t="shared" si="34"/>
        <v xml:space="preserve">Normal </v>
      </c>
      <c r="V393" s="15"/>
    </row>
    <row r="394" spans="1:22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25" t="str">
        <f t="shared" si="30"/>
        <v>Online</v>
      </c>
      <c r="I394" s="1" t="s">
        <v>35</v>
      </c>
      <c r="J394" s="1" t="s">
        <v>52</v>
      </c>
      <c r="K394" s="1" t="s">
        <v>60</v>
      </c>
      <c r="L394" s="1" t="s">
        <v>45</v>
      </c>
      <c r="M394" s="1">
        <v>8</v>
      </c>
      <c r="N394" s="1">
        <v>2993.25</v>
      </c>
      <c r="O394" s="1">
        <v>10</v>
      </c>
      <c r="P394" s="31" t="str">
        <f t="shared" si="31"/>
        <v>Heavy</v>
      </c>
      <c r="Q394" s="1">
        <v>21551.4</v>
      </c>
      <c r="R394" s="27" t="str">
        <f t="shared" si="32"/>
        <v>Not</v>
      </c>
      <c r="S394" s="29" t="str">
        <f t="shared" si="33"/>
        <v>Excellent</v>
      </c>
      <c r="T394" s="33" t="str">
        <f t="shared" si="34"/>
        <v>Priority order</v>
      </c>
      <c r="V394" s="15"/>
    </row>
    <row r="395" spans="1:22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25" t="str">
        <f t="shared" si="30"/>
        <v>Online</v>
      </c>
      <c r="I395" s="1" t="s">
        <v>18</v>
      </c>
      <c r="J395" s="1" t="s">
        <v>49</v>
      </c>
      <c r="K395" s="1" t="s">
        <v>50</v>
      </c>
      <c r="L395" s="1" t="s">
        <v>47</v>
      </c>
      <c r="M395" s="1">
        <v>6</v>
      </c>
      <c r="N395" s="1">
        <v>2716.48</v>
      </c>
      <c r="O395" s="1">
        <v>0</v>
      </c>
      <c r="P395" s="31" t="str">
        <f t="shared" si="31"/>
        <v>Normal</v>
      </c>
      <c r="Q395" s="1">
        <v>16298.88</v>
      </c>
      <c r="R395" s="27" t="str">
        <f t="shared" si="32"/>
        <v>Eligible</v>
      </c>
      <c r="S395" s="29" t="str">
        <f t="shared" si="33"/>
        <v>Excellent</v>
      </c>
      <c r="T395" s="33" t="str">
        <f t="shared" si="34"/>
        <v>Priority order</v>
      </c>
      <c r="V395" s="15"/>
    </row>
    <row r="396" spans="1:22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25" t="str">
        <f t="shared" si="30"/>
        <v>Online</v>
      </c>
      <c r="I396" s="1" t="s">
        <v>44</v>
      </c>
      <c r="J396" s="1" t="s">
        <v>26</v>
      </c>
      <c r="K396" s="1" t="s">
        <v>36</v>
      </c>
      <c r="L396" s="1" t="s">
        <v>45</v>
      </c>
      <c r="M396" s="1">
        <v>2</v>
      </c>
      <c r="N396" s="1">
        <v>610.30999999999995</v>
      </c>
      <c r="O396" s="1">
        <v>10</v>
      </c>
      <c r="P396" s="31" t="str">
        <f t="shared" si="31"/>
        <v>Heavy</v>
      </c>
      <c r="Q396" s="1">
        <v>1098.56</v>
      </c>
      <c r="R396" s="27" t="str">
        <f t="shared" si="32"/>
        <v>Not</v>
      </c>
      <c r="S396" s="29" t="str">
        <f t="shared" si="33"/>
        <v>Average</v>
      </c>
      <c r="T396" s="33" t="str">
        <f t="shared" si="34"/>
        <v xml:space="preserve">Normal </v>
      </c>
      <c r="V396" s="15"/>
    </row>
    <row r="397" spans="1:22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25" t="str">
        <f t="shared" si="30"/>
        <v>Marketplace</v>
      </c>
      <c r="I397" s="1" t="s">
        <v>44</v>
      </c>
      <c r="J397" s="1" t="s">
        <v>49</v>
      </c>
      <c r="K397" s="1" t="s">
        <v>51</v>
      </c>
      <c r="L397" s="1" t="s">
        <v>47</v>
      </c>
      <c r="M397" s="1">
        <v>6</v>
      </c>
      <c r="N397" s="1">
        <v>2354.67</v>
      </c>
      <c r="O397" s="1">
        <v>15</v>
      </c>
      <c r="P397" s="31" t="str">
        <f t="shared" si="31"/>
        <v>Heavy</v>
      </c>
      <c r="Q397" s="1">
        <v>12008.82</v>
      </c>
      <c r="R397" s="27" t="str">
        <f t="shared" si="32"/>
        <v>Not</v>
      </c>
      <c r="S397" s="29" t="str">
        <f t="shared" si="33"/>
        <v>Excellent</v>
      </c>
      <c r="T397" s="33" t="str">
        <f t="shared" si="34"/>
        <v>Priority order</v>
      </c>
      <c r="V397" s="15"/>
    </row>
    <row r="398" spans="1:22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25" t="str">
        <f t="shared" si="30"/>
        <v>Marketplace</v>
      </c>
      <c r="I398" s="1" t="s">
        <v>18</v>
      </c>
      <c r="J398" s="1" t="s">
        <v>31</v>
      </c>
      <c r="K398" s="1" t="s">
        <v>39</v>
      </c>
      <c r="L398" s="1" t="s">
        <v>45</v>
      </c>
      <c r="M398" s="1">
        <v>7</v>
      </c>
      <c r="N398" s="1">
        <v>1138.46</v>
      </c>
      <c r="O398" s="1">
        <v>10</v>
      </c>
      <c r="P398" s="31" t="str">
        <f t="shared" si="31"/>
        <v>Heavy</v>
      </c>
      <c r="Q398" s="1">
        <v>7172.3</v>
      </c>
      <c r="R398" s="27" t="str">
        <f t="shared" si="32"/>
        <v>Not</v>
      </c>
      <c r="S398" s="29" t="str">
        <f t="shared" si="33"/>
        <v>Excellent</v>
      </c>
      <c r="T398" s="33" t="str">
        <f t="shared" si="34"/>
        <v>Priority order</v>
      </c>
      <c r="V398" s="15"/>
    </row>
    <row r="399" spans="1:22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25" t="str">
        <f t="shared" si="30"/>
        <v>Online</v>
      </c>
      <c r="I399" s="1" t="s">
        <v>44</v>
      </c>
      <c r="J399" s="1" t="s">
        <v>49</v>
      </c>
      <c r="K399" s="1" t="s">
        <v>63</v>
      </c>
      <c r="L399" s="1" t="s">
        <v>33</v>
      </c>
      <c r="M399" s="1">
        <v>5</v>
      </c>
      <c r="N399" s="1">
        <v>3245.77</v>
      </c>
      <c r="O399" s="1">
        <v>0</v>
      </c>
      <c r="P399" s="31" t="str">
        <f t="shared" si="31"/>
        <v>Normal</v>
      </c>
      <c r="Q399" s="1">
        <v>16228.85</v>
      </c>
      <c r="R399" s="27" t="str">
        <f t="shared" si="32"/>
        <v>Eligible</v>
      </c>
      <c r="S399" s="29" t="str">
        <f t="shared" si="33"/>
        <v>Excellent</v>
      </c>
      <c r="T399" s="33" t="str">
        <f t="shared" si="34"/>
        <v>Priority order</v>
      </c>
      <c r="V399" s="15"/>
    </row>
    <row r="400" spans="1:22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25" t="str">
        <f t="shared" si="30"/>
        <v>Online</v>
      </c>
      <c r="I400" s="1" t="s">
        <v>42</v>
      </c>
      <c r="J400" s="1" t="s">
        <v>19</v>
      </c>
      <c r="K400" s="1" t="s">
        <v>43</v>
      </c>
      <c r="L400" s="1" t="s">
        <v>33</v>
      </c>
      <c r="M400" s="1">
        <v>3</v>
      </c>
      <c r="N400" s="1">
        <v>1789.86</v>
      </c>
      <c r="O400" s="1">
        <v>0</v>
      </c>
      <c r="P400" s="31" t="str">
        <f t="shared" si="31"/>
        <v>Normal</v>
      </c>
      <c r="Q400" s="1">
        <v>5369.58</v>
      </c>
      <c r="R400" s="27" t="str">
        <f t="shared" si="32"/>
        <v>Eligible</v>
      </c>
      <c r="S400" s="29" t="str">
        <f t="shared" si="33"/>
        <v>Good</v>
      </c>
      <c r="T400" s="33" t="str">
        <f t="shared" si="34"/>
        <v xml:space="preserve">Normal </v>
      </c>
      <c r="V400" s="15"/>
    </row>
    <row r="401" spans="1:22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25" t="str">
        <f t="shared" si="30"/>
        <v>Marketplace</v>
      </c>
      <c r="I401" s="1" t="s">
        <v>35</v>
      </c>
      <c r="J401" s="1" t="s">
        <v>52</v>
      </c>
      <c r="K401" s="1" t="s">
        <v>60</v>
      </c>
      <c r="L401" s="1" t="s">
        <v>21</v>
      </c>
      <c r="M401" s="1">
        <v>4</v>
      </c>
      <c r="N401" s="1">
        <v>3979.53</v>
      </c>
      <c r="O401" s="1">
        <v>10</v>
      </c>
      <c r="P401" s="31" t="str">
        <f t="shared" si="31"/>
        <v>Heavy</v>
      </c>
      <c r="Q401" s="1">
        <v>14326.31</v>
      </c>
      <c r="R401" s="27" t="str">
        <f t="shared" si="32"/>
        <v>Not</v>
      </c>
      <c r="S401" s="29" t="str">
        <f t="shared" si="33"/>
        <v>Excellent</v>
      </c>
      <c r="T401" s="33" t="str">
        <f t="shared" si="34"/>
        <v>Priority order</v>
      </c>
      <c r="V401" s="15"/>
    </row>
    <row r="402" spans="1:22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25" t="str">
        <f t="shared" si="30"/>
        <v>Online</v>
      </c>
      <c r="I402" s="1" t="s">
        <v>35</v>
      </c>
      <c r="J402" s="1" t="s">
        <v>31</v>
      </c>
      <c r="K402" s="1" t="s">
        <v>48</v>
      </c>
      <c r="L402" s="1" t="s">
        <v>45</v>
      </c>
      <c r="M402" s="1">
        <v>4</v>
      </c>
      <c r="N402" s="1">
        <v>506.13</v>
      </c>
      <c r="O402" s="1">
        <v>5</v>
      </c>
      <c r="P402" s="31" t="str">
        <f t="shared" si="31"/>
        <v>Heavy</v>
      </c>
      <c r="Q402" s="1">
        <v>1923.29</v>
      </c>
      <c r="R402" s="27" t="str">
        <f t="shared" si="32"/>
        <v>Not</v>
      </c>
      <c r="S402" s="29" t="str">
        <f t="shared" si="33"/>
        <v>Average</v>
      </c>
      <c r="T402" s="33" t="str">
        <f t="shared" si="34"/>
        <v xml:space="preserve">Normal </v>
      </c>
      <c r="V402" s="15"/>
    </row>
    <row r="403" spans="1:22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25" t="str">
        <f t="shared" si="30"/>
        <v>Online</v>
      </c>
      <c r="I403" s="1" t="s">
        <v>18</v>
      </c>
      <c r="J403" s="1" t="s">
        <v>49</v>
      </c>
      <c r="K403" s="1" t="s">
        <v>51</v>
      </c>
      <c r="L403" s="1" t="s">
        <v>28</v>
      </c>
      <c r="M403" s="1">
        <v>6</v>
      </c>
      <c r="N403" s="1">
        <v>3154.34</v>
      </c>
      <c r="O403" s="1">
        <v>15</v>
      </c>
      <c r="P403" s="31" t="str">
        <f t="shared" si="31"/>
        <v>Heavy</v>
      </c>
      <c r="Q403" s="1">
        <v>16087.13</v>
      </c>
      <c r="R403" s="27" t="str">
        <f t="shared" si="32"/>
        <v>Not</v>
      </c>
      <c r="S403" s="29" t="str">
        <f t="shared" si="33"/>
        <v>Excellent</v>
      </c>
      <c r="T403" s="33" t="str">
        <f t="shared" si="34"/>
        <v>Priority order</v>
      </c>
      <c r="V403" s="15"/>
    </row>
    <row r="404" spans="1:22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25" t="str">
        <f t="shared" si="30"/>
        <v>Online</v>
      </c>
      <c r="I404" s="1" t="s">
        <v>44</v>
      </c>
      <c r="J404" s="1" t="s">
        <v>26</v>
      </c>
      <c r="K404" s="1" t="s">
        <v>36</v>
      </c>
      <c r="L404" s="1" t="s">
        <v>21</v>
      </c>
      <c r="M404" s="1">
        <v>1</v>
      </c>
      <c r="N404" s="1">
        <v>2743.75</v>
      </c>
      <c r="O404" s="1">
        <v>15</v>
      </c>
      <c r="P404" s="31" t="str">
        <f t="shared" si="31"/>
        <v>Heavy</v>
      </c>
      <c r="Q404" s="1">
        <v>2332.19</v>
      </c>
      <c r="R404" s="27" t="str">
        <f t="shared" si="32"/>
        <v>Not</v>
      </c>
      <c r="S404" s="29" t="str">
        <f t="shared" si="33"/>
        <v>Average</v>
      </c>
      <c r="T404" s="33" t="str">
        <f t="shared" si="34"/>
        <v xml:space="preserve">Normal </v>
      </c>
      <c r="V404" s="15"/>
    </row>
    <row r="405" spans="1:22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25" t="str">
        <f t="shared" si="30"/>
        <v>Online</v>
      </c>
      <c r="I405" s="1" t="s">
        <v>25</v>
      </c>
      <c r="J405" s="1" t="s">
        <v>19</v>
      </c>
      <c r="K405" s="1" t="s">
        <v>66</v>
      </c>
      <c r="L405" s="1" t="s">
        <v>45</v>
      </c>
      <c r="M405" s="1">
        <v>4</v>
      </c>
      <c r="N405" s="1">
        <v>3104.87</v>
      </c>
      <c r="O405" s="1">
        <v>10</v>
      </c>
      <c r="P405" s="31" t="str">
        <f t="shared" si="31"/>
        <v>Heavy</v>
      </c>
      <c r="Q405" s="1">
        <v>11177.53</v>
      </c>
      <c r="R405" s="27" t="str">
        <f t="shared" si="32"/>
        <v>Not</v>
      </c>
      <c r="S405" s="29" t="str">
        <f t="shared" si="33"/>
        <v>Excellent</v>
      </c>
      <c r="T405" s="33" t="str">
        <f t="shared" si="34"/>
        <v>Priority order</v>
      </c>
      <c r="V405" s="15"/>
    </row>
    <row r="406" spans="1:22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25" t="str">
        <f t="shared" si="30"/>
        <v>Online</v>
      </c>
      <c r="I406" s="1" t="s">
        <v>25</v>
      </c>
      <c r="J406" s="1" t="s">
        <v>19</v>
      </c>
      <c r="K406" s="1" t="s">
        <v>66</v>
      </c>
      <c r="L406" s="1" t="s">
        <v>45</v>
      </c>
      <c r="M406" s="1">
        <v>4</v>
      </c>
      <c r="N406" s="1">
        <v>1333.99</v>
      </c>
      <c r="O406" s="1">
        <v>5</v>
      </c>
      <c r="P406" s="31" t="str">
        <f t="shared" si="31"/>
        <v>Heavy</v>
      </c>
      <c r="Q406" s="1">
        <v>5069.16</v>
      </c>
      <c r="R406" s="27" t="str">
        <f t="shared" si="32"/>
        <v>Eligible</v>
      </c>
      <c r="S406" s="29" t="str">
        <f t="shared" si="33"/>
        <v>Good</v>
      </c>
      <c r="T406" s="33" t="str">
        <f t="shared" si="34"/>
        <v xml:space="preserve">Normal </v>
      </c>
      <c r="V406" s="15"/>
    </row>
    <row r="407" spans="1:22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25" t="str">
        <f t="shared" si="30"/>
        <v>Marketplace</v>
      </c>
      <c r="I407" s="1" t="s">
        <v>44</v>
      </c>
      <c r="J407" s="1" t="s">
        <v>49</v>
      </c>
      <c r="K407" s="1" t="s">
        <v>51</v>
      </c>
      <c r="L407" s="1" t="s">
        <v>21</v>
      </c>
      <c r="M407" s="1">
        <v>1</v>
      </c>
      <c r="N407" s="1">
        <v>2044.41</v>
      </c>
      <c r="O407" s="1">
        <v>0</v>
      </c>
      <c r="P407" s="31" t="str">
        <f t="shared" si="31"/>
        <v>Normal</v>
      </c>
      <c r="Q407" s="1">
        <v>2044.41</v>
      </c>
      <c r="R407" s="27" t="str">
        <f t="shared" si="32"/>
        <v>Not</v>
      </c>
      <c r="S407" s="29" t="str">
        <f t="shared" si="33"/>
        <v>Average</v>
      </c>
      <c r="T407" s="33" t="str">
        <f t="shared" si="34"/>
        <v xml:space="preserve">Normal </v>
      </c>
      <c r="V407" s="15"/>
    </row>
    <row r="408" spans="1:22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25" t="str">
        <f t="shared" si="30"/>
        <v>Online</v>
      </c>
      <c r="I408" s="1" t="s">
        <v>25</v>
      </c>
      <c r="J408" s="1" t="s">
        <v>52</v>
      </c>
      <c r="K408" s="1" t="s">
        <v>53</v>
      </c>
      <c r="L408" s="1" t="s">
        <v>33</v>
      </c>
      <c r="M408" s="1">
        <v>9</v>
      </c>
      <c r="N408" s="1">
        <v>3216.56</v>
      </c>
      <c r="O408" s="1">
        <v>20</v>
      </c>
      <c r="P408" s="31" t="str">
        <f t="shared" si="31"/>
        <v>Heavy</v>
      </c>
      <c r="Q408" s="1">
        <v>23159.23</v>
      </c>
      <c r="R408" s="27" t="str">
        <f t="shared" si="32"/>
        <v>Not</v>
      </c>
      <c r="S408" s="29" t="str">
        <f t="shared" si="33"/>
        <v>Excellent</v>
      </c>
      <c r="T408" s="33" t="str">
        <f t="shared" si="34"/>
        <v>Priority order</v>
      </c>
      <c r="V408" s="15"/>
    </row>
    <row r="409" spans="1:22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25" t="str">
        <f t="shared" si="30"/>
        <v>Marketplace</v>
      </c>
      <c r="I409" s="1" t="s">
        <v>18</v>
      </c>
      <c r="J409" s="1" t="s">
        <v>49</v>
      </c>
      <c r="K409" s="1" t="s">
        <v>63</v>
      </c>
      <c r="L409" s="1" t="s">
        <v>45</v>
      </c>
      <c r="M409" s="1">
        <v>4</v>
      </c>
      <c r="N409" s="1">
        <v>1045.28</v>
      </c>
      <c r="O409" s="1">
        <v>20</v>
      </c>
      <c r="P409" s="31" t="str">
        <f t="shared" si="31"/>
        <v>Heavy</v>
      </c>
      <c r="Q409" s="1">
        <v>3344.9</v>
      </c>
      <c r="R409" s="27" t="str">
        <f t="shared" si="32"/>
        <v>Not</v>
      </c>
      <c r="S409" s="29" t="str">
        <f t="shared" si="33"/>
        <v>Average</v>
      </c>
      <c r="T409" s="33" t="str">
        <f t="shared" si="34"/>
        <v xml:space="preserve">Normal </v>
      </c>
      <c r="V409" s="15"/>
    </row>
    <row r="410" spans="1:22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25" t="str">
        <f t="shared" si="30"/>
        <v>Online</v>
      </c>
      <c r="I410" s="1" t="s">
        <v>18</v>
      </c>
      <c r="J410" s="1" t="s">
        <v>31</v>
      </c>
      <c r="K410" s="1" t="s">
        <v>39</v>
      </c>
      <c r="L410" s="1" t="s">
        <v>33</v>
      </c>
      <c r="M410" s="1">
        <v>7</v>
      </c>
      <c r="N410" s="1">
        <v>1020.23</v>
      </c>
      <c r="O410" s="1">
        <v>10</v>
      </c>
      <c r="P410" s="31" t="str">
        <f t="shared" si="31"/>
        <v>Heavy</v>
      </c>
      <c r="Q410" s="1">
        <v>6427.45</v>
      </c>
      <c r="R410" s="27" t="str">
        <f t="shared" si="32"/>
        <v>Not</v>
      </c>
      <c r="S410" s="29" t="str">
        <f t="shared" si="33"/>
        <v>Good</v>
      </c>
      <c r="T410" s="33" t="str">
        <f t="shared" si="34"/>
        <v>Priority order</v>
      </c>
      <c r="V410" s="15"/>
    </row>
    <row r="411" spans="1:22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25" t="str">
        <f t="shared" si="30"/>
        <v>Marketplace</v>
      </c>
      <c r="I411" s="1" t="s">
        <v>44</v>
      </c>
      <c r="J411" s="1" t="s">
        <v>49</v>
      </c>
      <c r="K411" s="1" t="s">
        <v>50</v>
      </c>
      <c r="L411" s="1" t="s">
        <v>21</v>
      </c>
      <c r="M411" s="1">
        <v>3</v>
      </c>
      <c r="N411" s="1">
        <v>2271.5500000000002</v>
      </c>
      <c r="O411" s="1">
        <v>5</v>
      </c>
      <c r="P411" s="31" t="str">
        <f t="shared" si="31"/>
        <v>Heavy</v>
      </c>
      <c r="Q411" s="1">
        <v>6473.92</v>
      </c>
      <c r="R411" s="27" t="str">
        <f t="shared" si="32"/>
        <v>Eligible</v>
      </c>
      <c r="S411" s="29" t="str">
        <f t="shared" si="33"/>
        <v>Good</v>
      </c>
      <c r="T411" s="33" t="str">
        <f t="shared" si="34"/>
        <v xml:space="preserve">Normal </v>
      </c>
      <c r="V411" s="15"/>
    </row>
    <row r="412" spans="1:22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25" t="str">
        <f t="shared" si="30"/>
        <v>Marketplace</v>
      </c>
      <c r="I412" s="1" t="s">
        <v>25</v>
      </c>
      <c r="J412" s="1" t="s">
        <v>19</v>
      </c>
      <c r="K412" s="1" t="s">
        <v>43</v>
      </c>
      <c r="L412" s="1" t="s">
        <v>33</v>
      </c>
      <c r="M412" s="1">
        <v>3</v>
      </c>
      <c r="N412" s="1">
        <v>2165.7199999999998</v>
      </c>
      <c r="O412" s="1">
        <v>5</v>
      </c>
      <c r="P412" s="31" t="str">
        <f t="shared" si="31"/>
        <v>Heavy</v>
      </c>
      <c r="Q412" s="1">
        <v>6172.3</v>
      </c>
      <c r="R412" s="27" t="str">
        <f t="shared" si="32"/>
        <v>Eligible</v>
      </c>
      <c r="S412" s="29" t="str">
        <f t="shared" si="33"/>
        <v>Good</v>
      </c>
      <c r="T412" s="33" t="str">
        <f t="shared" si="34"/>
        <v xml:space="preserve">Normal </v>
      </c>
      <c r="V412" s="15"/>
    </row>
    <row r="413" spans="1:22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25" t="str">
        <f t="shared" si="30"/>
        <v>Online</v>
      </c>
      <c r="I413" s="1" t="s">
        <v>18</v>
      </c>
      <c r="J413" s="1" t="s">
        <v>49</v>
      </c>
      <c r="K413" s="1" t="s">
        <v>63</v>
      </c>
      <c r="L413" s="1" t="s">
        <v>47</v>
      </c>
      <c r="M413" s="1">
        <v>8</v>
      </c>
      <c r="N413" s="1">
        <v>1236.71</v>
      </c>
      <c r="O413" s="1">
        <v>15</v>
      </c>
      <c r="P413" s="31" t="str">
        <f t="shared" si="31"/>
        <v>Heavy</v>
      </c>
      <c r="Q413" s="1">
        <v>8409.6299999999992</v>
      </c>
      <c r="R413" s="27" t="str">
        <f t="shared" si="32"/>
        <v>Not</v>
      </c>
      <c r="S413" s="29" t="str">
        <f t="shared" si="33"/>
        <v>Excellent</v>
      </c>
      <c r="T413" s="33" t="str">
        <f t="shared" si="34"/>
        <v>Priority order</v>
      </c>
      <c r="V413" s="15"/>
    </row>
    <row r="414" spans="1:22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25" t="str">
        <f t="shared" si="30"/>
        <v>Online</v>
      </c>
      <c r="I414" s="1" t="s">
        <v>18</v>
      </c>
      <c r="J414" s="1" t="s">
        <v>52</v>
      </c>
      <c r="K414" s="1" t="s">
        <v>53</v>
      </c>
      <c r="L414" s="1" t="s">
        <v>28</v>
      </c>
      <c r="M414" s="1">
        <v>8</v>
      </c>
      <c r="N414" s="1">
        <v>1297.5899999999999</v>
      </c>
      <c r="O414" s="1">
        <v>0</v>
      </c>
      <c r="P414" s="31" t="str">
        <f t="shared" si="31"/>
        <v>Normal</v>
      </c>
      <c r="Q414" s="1">
        <v>10380.719999999999</v>
      </c>
      <c r="R414" s="27" t="str">
        <f t="shared" si="32"/>
        <v>Eligible</v>
      </c>
      <c r="S414" s="29" t="str">
        <f t="shared" si="33"/>
        <v>Excellent</v>
      </c>
      <c r="T414" s="33" t="str">
        <f t="shared" si="34"/>
        <v>Priority order</v>
      </c>
      <c r="V414" s="15"/>
    </row>
    <row r="415" spans="1:22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25" t="str">
        <f t="shared" si="30"/>
        <v>Marketplace</v>
      </c>
      <c r="I415" s="1" t="s">
        <v>42</v>
      </c>
      <c r="J415" s="1" t="s">
        <v>26</v>
      </c>
      <c r="K415" s="1" t="s">
        <v>36</v>
      </c>
      <c r="L415" s="1" t="s">
        <v>45</v>
      </c>
      <c r="M415" s="1">
        <v>1</v>
      </c>
      <c r="N415" s="1">
        <v>1219.7</v>
      </c>
      <c r="O415" s="1">
        <v>5</v>
      </c>
      <c r="P415" s="31" t="str">
        <f t="shared" si="31"/>
        <v>Heavy</v>
      </c>
      <c r="Q415" s="1">
        <v>1158.71</v>
      </c>
      <c r="R415" s="27" t="str">
        <f t="shared" si="32"/>
        <v>Not</v>
      </c>
      <c r="S415" s="29" t="str">
        <f t="shared" si="33"/>
        <v>Average</v>
      </c>
      <c r="T415" s="33" t="str">
        <f t="shared" si="34"/>
        <v xml:space="preserve">Normal </v>
      </c>
      <c r="V415" s="15"/>
    </row>
    <row r="416" spans="1:22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25" t="str">
        <f t="shared" si="30"/>
        <v>Online</v>
      </c>
      <c r="I416" s="1" t="s">
        <v>42</v>
      </c>
      <c r="J416" s="1" t="s">
        <v>57</v>
      </c>
      <c r="K416" s="1" t="s">
        <v>67</v>
      </c>
      <c r="L416" s="1" t="s">
        <v>28</v>
      </c>
      <c r="M416" s="1">
        <v>2</v>
      </c>
      <c r="N416" s="1">
        <v>3120.32</v>
      </c>
      <c r="O416" s="1">
        <v>20</v>
      </c>
      <c r="P416" s="31" t="str">
        <f t="shared" si="31"/>
        <v>Heavy</v>
      </c>
      <c r="Q416" s="1">
        <v>4992.51</v>
      </c>
      <c r="R416" s="27" t="str">
        <f t="shared" si="32"/>
        <v>Not</v>
      </c>
      <c r="S416" s="29" t="str">
        <f t="shared" si="33"/>
        <v>Good</v>
      </c>
      <c r="T416" s="33" t="str">
        <f t="shared" si="34"/>
        <v xml:space="preserve">Normal </v>
      </c>
      <c r="V416" s="15"/>
    </row>
    <row r="417" spans="1:22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25" t="str">
        <f t="shared" si="30"/>
        <v>Online</v>
      </c>
      <c r="I417" s="1" t="s">
        <v>18</v>
      </c>
      <c r="J417" s="1" t="s">
        <v>49</v>
      </c>
      <c r="K417" s="1" t="s">
        <v>63</v>
      </c>
      <c r="L417" s="1" t="s">
        <v>33</v>
      </c>
      <c r="M417" s="1">
        <v>8</v>
      </c>
      <c r="N417" s="1">
        <v>2659.82</v>
      </c>
      <c r="O417" s="1">
        <v>0</v>
      </c>
      <c r="P417" s="31" t="str">
        <f t="shared" si="31"/>
        <v>Normal</v>
      </c>
      <c r="Q417" s="1">
        <v>21278.560000000001</v>
      </c>
      <c r="R417" s="27" t="str">
        <f t="shared" si="32"/>
        <v>Eligible</v>
      </c>
      <c r="S417" s="29" t="str">
        <f t="shared" si="33"/>
        <v>Excellent</v>
      </c>
      <c r="T417" s="33" t="str">
        <f t="shared" si="34"/>
        <v>Priority order</v>
      </c>
      <c r="V417" s="15"/>
    </row>
    <row r="418" spans="1:22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25" t="str">
        <f t="shared" si="30"/>
        <v>Online</v>
      </c>
      <c r="I418" s="1" t="s">
        <v>44</v>
      </c>
      <c r="J418" s="1" t="s">
        <v>52</v>
      </c>
      <c r="K418" s="1" t="s">
        <v>64</v>
      </c>
      <c r="L418" s="1" t="s">
        <v>45</v>
      </c>
      <c r="M418" s="1">
        <v>1</v>
      </c>
      <c r="N418" s="1">
        <v>3354.81</v>
      </c>
      <c r="O418" s="1">
        <v>0</v>
      </c>
      <c r="P418" s="31" t="str">
        <f t="shared" si="31"/>
        <v>Normal</v>
      </c>
      <c r="Q418" s="1">
        <v>3354.81</v>
      </c>
      <c r="R418" s="27" t="str">
        <f t="shared" si="32"/>
        <v>Not</v>
      </c>
      <c r="S418" s="29" t="str">
        <f t="shared" si="33"/>
        <v>Average</v>
      </c>
      <c r="T418" s="33" t="str">
        <f t="shared" si="34"/>
        <v xml:space="preserve">Normal </v>
      </c>
      <c r="V418" s="15"/>
    </row>
    <row r="419" spans="1:22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25" t="str">
        <f t="shared" si="30"/>
        <v>Online</v>
      </c>
      <c r="I419" s="1" t="s">
        <v>35</v>
      </c>
      <c r="J419" s="1" t="s">
        <v>52</v>
      </c>
      <c r="K419" s="1" t="s">
        <v>56</v>
      </c>
      <c r="L419" s="1" t="s">
        <v>33</v>
      </c>
      <c r="M419" s="1">
        <v>8</v>
      </c>
      <c r="N419" s="1">
        <v>3905.57</v>
      </c>
      <c r="O419" s="1">
        <v>10</v>
      </c>
      <c r="P419" s="31" t="str">
        <f t="shared" si="31"/>
        <v>Heavy</v>
      </c>
      <c r="Q419" s="1">
        <v>28120.1</v>
      </c>
      <c r="R419" s="27" t="str">
        <f t="shared" si="32"/>
        <v>Not</v>
      </c>
      <c r="S419" s="29" t="str">
        <f t="shared" si="33"/>
        <v>Excellent</v>
      </c>
      <c r="T419" s="33" t="str">
        <f t="shared" si="34"/>
        <v>Priority order</v>
      </c>
      <c r="V419" s="15"/>
    </row>
    <row r="420" spans="1:22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25" t="str">
        <f t="shared" si="30"/>
        <v>Online</v>
      </c>
      <c r="I420" s="1" t="s">
        <v>35</v>
      </c>
      <c r="J420" s="1" t="s">
        <v>26</v>
      </c>
      <c r="K420" s="1" t="s">
        <v>27</v>
      </c>
      <c r="L420" s="1" t="s">
        <v>47</v>
      </c>
      <c r="M420" s="1">
        <v>8</v>
      </c>
      <c r="N420" s="1">
        <v>1975.53</v>
      </c>
      <c r="O420" s="1">
        <v>5</v>
      </c>
      <c r="P420" s="31" t="str">
        <f t="shared" si="31"/>
        <v>Heavy</v>
      </c>
      <c r="Q420" s="1">
        <v>15014.03</v>
      </c>
      <c r="R420" s="27" t="str">
        <f t="shared" si="32"/>
        <v>Eligible</v>
      </c>
      <c r="S420" s="29" t="str">
        <f t="shared" si="33"/>
        <v>Excellent</v>
      </c>
      <c r="T420" s="33" t="str">
        <f t="shared" si="34"/>
        <v>Priority order</v>
      </c>
      <c r="V420" s="15"/>
    </row>
    <row r="421" spans="1:22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25" t="str">
        <f t="shared" si="30"/>
        <v>Online</v>
      </c>
      <c r="I421" s="1" t="s">
        <v>18</v>
      </c>
      <c r="J421" s="1" t="s">
        <v>19</v>
      </c>
      <c r="K421" s="1" t="s">
        <v>66</v>
      </c>
      <c r="L421" s="1" t="s">
        <v>21</v>
      </c>
      <c r="M421" s="1">
        <v>2</v>
      </c>
      <c r="N421" s="1">
        <v>406.77</v>
      </c>
      <c r="O421" s="1">
        <v>10</v>
      </c>
      <c r="P421" s="31" t="str">
        <f t="shared" si="31"/>
        <v>Heavy</v>
      </c>
      <c r="Q421" s="1">
        <v>732.19</v>
      </c>
      <c r="R421" s="27" t="str">
        <f t="shared" si="32"/>
        <v>Not</v>
      </c>
      <c r="S421" s="29" t="str">
        <f t="shared" si="33"/>
        <v>Average</v>
      </c>
      <c r="T421" s="33" t="str">
        <f t="shared" si="34"/>
        <v xml:space="preserve">Normal </v>
      </c>
      <c r="V421" s="15"/>
    </row>
    <row r="422" spans="1:22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25" t="str">
        <f t="shared" si="30"/>
        <v>Online</v>
      </c>
      <c r="I422" s="1" t="s">
        <v>18</v>
      </c>
      <c r="J422" s="1" t="s">
        <v>52</v>
      </c>
      <c r="K422" s="1" t="s">
        <v>64</v>
      </c>
      <c r="L422" s="1" t="s">
        <v>45</v>
      </c>
      <c r="M422" s="1">
        <v>4</v>
      </c>
      <c r="N422" s="1">
        <v>335.16</v>
      </c>
      <c r="O422" s="1">
        <v>5</v>
      </c>
      <c r="P422" s="31" t="str">
        <f t="shared" si="31"/>
        <v>Heavy</v>
      </c>
      <c r="Q422" s="1">
        <v>1273.6099999999999</v>
      </c>
      <c r="R422" s="27" t="str">
        <f t="shared" si="32"/>
        <v>Not</v>
      </c>
      <c r="S422" s="29" t="str">
        <f t="shared" si="33"/>
        <v>Average</v>
      </c>
      <c r="T422" s="33" t="str">
        <f t="shared" si="34"/>
        <v xml:space="preserve">Normal </v>
      </c>
      <c r="V422" s="15"/>
    </row>
    <row r="423" spans="1:22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25" t="str">
        <f t="shared" si="30"/>
        <v>Online</v>
      </c>
      <c r="I423" s="1" t="s">
        <v>18</v>
      </c>
      <c r="J423" s="1" t="s">
        <v>52</v>
      </c>
      <c r="K423" s="1" t="s">
        <v>64</v>
      </c>
      <c r="L423" s="1" t="s">
        <v>47</v>
      </c>
      <c r="M423" s="1">
        <v>6</v>
      </c>
      <c r="N423" s="1">
        <v>1288.31</v>
      </c>
      <c r="O423" s="1">
        <v>15</v>
      </c>
      <c r="P423" s="31" t="str">
        <f t="shared" si="31"/>
        <v>Heavy</v>
      </c>
      <c r="Q423" s="1">
        <v>6570.38</v>
      </c>
      <c r="R423" s="27" t="str">
        <f t="shared" si="32"/>
        <v>Not</v>
      </c>
      <c r="S423" s="29" t="str">
        <f t="shared" si="33"/>
        <v>Good</v>
      </c>
      <c r="T423" s="33" t="str">
        <f t="shared" si="34"/>
        <v>Priority order</v>
      </c>
      <c r="V423" s="15"/>
    </row>
    <row r="424" spans="1:22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25" t="str">
        <f t="shared" si="30"/>
        <v>Online</v>
      </c>
      <c r="I424" s="1" t="s">
        <v>44</v>
      </c>
      <c r="J424" s="1" t="s">
        <v>52</v>
      </c>
      <c r="K424" s="1" t="s">
        <v>60</v>
      </c>
      <c r="L424" s="1" t="s">
        <v>47</v>
      </c>
      <c r="M424" s="1">
        <v>9</v>
      </c>
      <c r="N424" s="1">
        <v>3740.3</v>
      </c>
      <c r="O424" s="1">
        <v>10</v>
      </c>
      <c r="P424" s="31" t="str">
        <f t="shared" si="31"/>
        <v>Heavy</v>
      </c>
      <c r="Q424" s="1">
        <v>30296.43</v>
      </c>
      <c r="R424" s="27" t="str">
        <f t="shared" si="32"/>
        <v>Not</v>
      </c>
      <c r="S424" s="29" t="str">
        <f t="shared" si="33"/>
        <v>Excellent</v>
      </c>
      <c r="T424" s="33" t="str">
        <f t="shared" si="34"/>
        <v>Priority order</v>
      </c>
      <c r="V424" s="15"/>
    </row>
    <row r="425" spans="1:22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25" t="str">
        <f t="shared" si="30"/>
        <v>Marketplace</v>
      </c>
      <c r="I425" s="1" t="s">
        <v>42</v>
      </c>
      <c r="J425" s="1" t="s">
        <v>52</v>
      </c>
      <c r="K425" s="1" t="s">
        <v>56</v>
      </c>
      <c r="L425" s="1" t="s">
        <v>45</v>
      </c>
      <c r="M425" s="1">
        <v>8</v>
      </c>
      <c r="N425" s="1">
        <v>2164.37</v>
      </c>
      <c r="O425" s="1">
        <v>10</v>
      </c>
      <c r="P425" s="31" t="str">
        <f t="shared" si="31"/>
        <v>Heavy</v>
      </c>
      <c r="Q425" s="1">
        <v>15583.46</v>
      </c>
      <c r="R425" s="27" t="str">
        <f t="shared" si="32"/>
        <v>Not</v>
      </c>
      <c r="S425" s="29" t="str">
        <f t="shared" si="33"/>
        <v>Excellent</v>
      </c>
      <c r="T425" s="33" t="str">
        <f t="shared" si="34"/>
        <v>Priority order</v>
      </c>
      <c r="V425" s="15"/>
    </row>
    <row r="426" spans="1:22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25" t="str">
        <f t="shared" si="30"/>
        <v>Marketplace</v>
      </c>
      <c r="I426" s="1" t="s">
        <v>18</v>
      </c>
      <c r="J426" s="1" t="s">
        <v>31</v>
      </c>
      <c r="K426" s="1" t="s">
        <v>39</v>
      </c>
      <c r="L426" s="1" t="s">
        <v>33</v>
      </c>
      <c r="M426" s="1">
        <v>8</v>
      </c>
      <c r="N426" s="1">
        <v>1196.3800000000001</v>
      </c>
      <c r="O426" s="1">
        <v>20</v>
      </c>
      <c r="P426" s="31" t="str">
        <f t="shared" si="31"/>
        <v>Heavy</v>
      </c>
      <c r="Q426" s="1">
        <v>7656.83</v>
      </c>
      <c r="R426" s="27" t="str">
        <f t="shared" si="32"/>
        <v>Not</v>
      </c>
      <c r="S426" s="29" t="str">
        <f t="shared" si="33"/>
        <v>Excellent</v>
      </c>
      <c r="T426" s="33" t="str">
        <f t="shared" si="34"/>
        <v>Priority order</v>
      </c>
      <c r="V426" s="15"/>
    </row>
    <row r="427" spans="1:22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25" t="str">
        <f t="shared" si="30"/>
        <v>Online</v>
      </c>
      <c r="I427" s="1" t="s">
        <v>18</v>
      </c>
      <c r="J427" s="1" t="s">
        <v>31</v>
      </c>
      <c r="K427" s="1" t="s">
        <v>32</v>
      </c>
      <c r="L427" s="1" t="s">
        <v>47</v>
      </c>
      <c r="M427" s="1">
        <v>7</v>
      </c>
      <c r="N427" s="1">
        <v>1686.79</v>
      </c>
      <c r="O427" s="1">
        <v>10</v>
      </c>
      <c r="P427" s="31" t="str">
        <f t="shared" si="31"/>
        <v>Heavy</v>
      </c>
      <c r="Q427" s="1">
        <v>10626.78</v>
      </c>
      <c r="R427" s="27" t="str">
        <f t="shared" si="32"/>
        <v>Not</v>
      </c>
      <c r="S427" s="29" t="str">
        <f t="shared" si="33"/>
        <v>Excellent</v>
      </c>
      <c r="T427" s="33" t="str">
        <f t="shared" si="34"/>
        <v>Priority order</v>
      </c>
      <c r="V427" s="15"/>
    </row>
    <row r="428" spans="1:22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25" t="str">
        <f t="shared" si="30"/>
        <v>Online</v>
      </c>
      <c r="I428" s="1" t="s">
        <v>25</v>
      </c>
      <c r="J428" s="1" t="s">
        <v>19</v>
      </c>
      <c r="K428" s="1" t="s">
        <v>55</v>
      </c>
      <c r="L428" s="1" t="s">
        <v>28</v>
      </c>
      <c r="M428" s="1">
        <v>9</v>
      </c>
      <c r="N428" s="1">
        <v>2454.59</v>
      </c>
      <c r="O428" s="1">
        <v>5</v>
      </c>
      <c r="P428" s="31" t="str">
        <f t="shared" si="31"/>
        <v>Heavy</v>
      </c>
      <c r="Q428" s="1">
        <v>20986.74</v>
      </c>
      <c r="R428" s="27" t="str">
        <f t="shared" si="32"/>
        <v>Eligible</v>
      </c>
      <c r="S428" s="29" t="str">
        <f t="shared" si="33"/>
        <v>Excellent</v>
      </c>
      <c r="T428" s="33" t="str">
        <f t="shared" si="34"/>
        <v>Priority order</v>
      </c>
      <c r="V428" s="15"/>
    </row>
    <row r="429" spans="1:22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25" t="str">
        <f t="shared" si="30"/>
        <v>Marketplace</v>
      </c>
      <c r="I429" s="1" t="s">
        <v>44</v>
      </c>
      <c r="J429" s="1" t="s">
        <v>49</v>
      </c>
      <c r="K429" s="1" t="s">
        <v>51</v>
      </c>
      <c r="L429" s="1" t="s">
        <v>47</v>
      </c>
      <c r="M429" s="1">
        <v>2</v>
      </c>
      <c r="N429" s="1">
        <v>2663.86</v>
      </c>
      <c r="O429" s="1">
        <v>20</v>
      </c>
      <c r="P429" s="31" t="str">
        <f t="shared" si="31"/>
        <v>Heavy</v>
      </c>
      <c r="Q429" s="1">
        <v>4262.18</v>
      </c>
      <c r="R429" s="27" t="str">
        <f t="shared" si="32"/>
        <v>Not</v>
      </c>
      <c r="S429" s="29" t="str">
        <f t="shared" si="33"/>
        <v>Good</v>
      </c>
      <c r="T429" s="33" t="str">
        <f t="shared" si="34"/>
        <v xml:space="preserve">Normal </v>
      </c>
      <c r="V429" s="15"/>
    </row>
    <row r="430" spans="1:22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25" t="str">
        <f t="shared" si="30"/>
        <v>Online</v>
      </c>
      <c r="I430" s="1" t="s">
        <v>18</v>
      </c>
      <c r="J430" s="1" t="s">
        <v>52</v>
      </c>
      <c r="K430" s="1" t="s">
        <v>56</v>
      </c>
      <c r="L430" s="1" t="s">
        <v>33</v>
      </c>
      <c r="M430" s="1">
        <v>3</v>
      </c>
      <c r="N430" s="1">
        <v>742.59</v>
      </c>
      <c r="O430" s="1">
        <v>10</v>
      </c>
      <c r="P430" s="31" t="str">
        <f t="shared" si="31"/>
        <v>Heavy</v>
      </c>
      <c r="Q430" s="1">
        <v>2004.99</v>
      </c>
      <c r="R430" s="27" t="str">
        <f t="shared" si="32"/>
        <v>Not</v>
      </c>
      <c r="S430" s="29" t="str">
        <f t="shared" si="33"/>
        <v>Average</v>
      </c>
      <c r="T430" s="33" t="str">
        <f t="shared" si="34"/>
        <v xml:space="preserve">Normal </v>
      </c>
      <c r="V430" s="15"/>
    </row>
    <row r="431" spans="1:22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25" t="str">
        <f t="shared" si="30"/>
        <v>Online</v>
      </c>
      <c r="I431" s="1" t="s">
        <v>25</v>
      </c>
      <c r="J431" s="1" t="s">
        <v>26</v>
      </c>
      <c r="K431" s="1" t="s">
        <v>69</v>
      </c>
      <c r="L431" s="1" t="s">
        <v>33</v>
      </c>
      <c r="M431" s="1">
        <v>8</v>
      </c>
      <c r="N431" s="1">
        <v>3911.57</v>
      </c>
      <c r="O431" s="1">
        <v>10</v>
      </c>
      <c r="P431" s="31" t="str">
        <f t="shared" si="31"/>
        <v>Heavy</v>
      </c>
      <c r="Q431" s="1">
        <v>28163.3</v>
      </c>
      <c r="R431" s="27" t="str">
        <f t="shared" si="32"/>
        <v>Not</v>
      </c>
      <c r="S431" s="29" t="str">
        <f t="shared" si="33"/>
        <v>Excellent</v>
      </c>
      <c r="T431" s="33" t="str">
        <f t="shared" si="34"/>
        <v>Priority order</v>
      </c>
      <c r="V431" s="15"/>
    </row>
    <row r="432" spans="1:22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25" t="str">
        <f t="shared" si="30"/>
        <v>Marketplace</v>
      </c>
      <c r="I432" s="1" t="s">
        <v>35</v>
      </c>
      <c r="J432" s="1" t="s">
        <v>49</v>
      </c>
      <c r="K432" s="1" t="s">
        <v>51</v>
      </c>
      <c r="L432" s="1" t="s">
        <v>28</v>
      </c>
      <c r="M432" s="1">
        <v>6</v>
      </c>
      <c r="N432" s="1">
        <v>2247.37</v>
      </c>
      <c r="O432" s="1">
        <v>15</v>
      </c>
      <c r="P432" s="31" t="str">
        <f t="shared" si="31"/>
        <v>Heavy</v>
      </c>
      <c r="Q432" s="1">
        <v>11461.59</v>
      </c>
      <c r="R432" s="27" t="str">
        <f t="shared" si="32"/>
        <v>Not</v>
      </c>
      <c r="S432" s="29" t="str">
        <f t="shared" si="33"/>
        <v>Excellent</v>
      </c>
      <c r="T432" s="33" t="str">
        <f t="shared" si="34"/>
        <v>Priority order</v>
      </c>
      <c r="V432" s="15"/>
    </row>
    <row r="433" spans="1:22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25" t="str">
        <f t="shared" si="30"/>
        <v>Marketplace</v>
      </c>
      <c r="I433" s="1" t="s">
        <v>18</v>
      </c>
      <c r="J433" s="1" t="s">
        <v>26</v>
      </c>
      <c r="K433" s="1" t="s">
        <v>61</v>
      </c>
      <c r="L433" s="1" t="s">
        <v>47</v>
      </c>
      <c r="M433" s="1">
        <v>9</v>
      </c>
      <c r="N433" s="1">
        <v>672.4</v>
      </c>
      <c r="O433" s="1">
        <v>10</v>
      </c>
      <c r="P433" s="31" t="str">
        <f t="shared" si="31"/>
        <v>Heavy</v>
      </c>
      <c r="Q433" s="1">
        <v>5446.44</v>
      </c>
      <c r="R433" s="27" t="str">
        <f t="shared" si="32"/>
        <v>Not</v>
      </c>
      <c r="S433" s="29" t="str">
        <f t="shared" si="33"/>
        <v>Good</v>
      </c>
      <c r="T433" s="33" t="str">
        <f t="shared" si="34"/>
        <v>Priority order</v>
      </c>
      <c r="V433" s="15"/>
    </row>
    <row r="434" spans="1:22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25" t="str">
        <f t="shared" si="30"/>
        <v>Online</v>
      </c>
      <c r="I434" s="1" t="s">
        <v>18</v>
      </c>
      <c r="J434" s="1" t="s">
        <v>49</v>
      </c>
      <c r="K434" s="1" t="s">
        <v>51</v>
      </c>
      <c r="L434" s="1" t="s">
        <v>33</v>
      </c>
      <c r="M434" s="1">
        <v>4</v>
      </c>
      <c r="N434" s="1">
        <v>3590.5</v>
      </c>
      <c r="O434" s="1">
        <v>0</v>
      </c>
      <c r="P434" s="31" t="str">
        <f t="shared" si="31"/>
        <v>Normal</v>
      </c>
      <c r="Q434" s="1">
        <v>14362</v>
      </c>
      <c r="R434" s="27" t="str">
        <f t="shared" si="32"/>
        <v>Eligible</v>
      </c>
      <c r="S434" s="29" t="str">
        <f t="shared" si="33"/>
        <v>Excellent</v>
      </c>
      <c r="T434" s="33" t="str">
        <f t="shared" si="34"/>
        <v>Priority order</v>
      </c>
      <c r="V434" s="15"/>
    </row>
    <row r="435" spans="1:22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25" t="str">
        <f t="shared" si="30"/>
        <v>Online</v>
      </c>
      <c r="I435" s="1" t="s">
        <v>25</v>
      </c>
      <c r="J435" s="1" t="s">
        <v>19</v>
      </c>
      <c r="K435" s="1" t="s">
        <v>20</v>
      </c>
      <c r="L435" s="1" t="s">
        <v>45</v>
      </c>
      <c r="M435" s="1">
        <v>8</v>
      </c>
      <c r="N435" s="1">
        <v>437.36</v>
      </c>
      <c r="O435" s="1">
        <v>20</v>
      </c>
      <c r="P435" s="31" t="str">
        <f t="shared" si="31"/>
        <v>Heavy</v>
      </c>
      <c r="Q435" s="1">
        <v>2799.1</v>
      </c>
      <c r="R435" s="27" t="str">
        <f t="shared" si="32"/>
        <v>Not</v>
      </c>
      <c r="S435" s="29" t="str">
        <f t="shared" si="33"/>
        <v>Average</v>
      </c>
      <c r="T435" s="33" t="str">
        <f t="shared" si="34"/>
        <v>Priority order</v>
      </c>
      <c r="V435" s="15"/>
    </row>
    <row r="436" spans="1:22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25" t="str">
        <f t="shared" si="30"/>
        <v>Online</v>
      </c>
      <c r="I436" s="1" t="s">
        <v>44</v>
      </c>
      <c r="J436" s="1" t="s">
        <v>52</v>
      </c>
      <c r="K436" s="1" t="s">
        <v>56</v>
      </c>
      <c r="L436" s="1" t="s">
        <v>21</v>
      </c>
      <c r="M436" s="1">
        <v>3</v>
      </c>
      <c r="N436" s="1">
        <v>3644.78</v>
      </c>
      <c r="O436" s="1">
        <v>0</v>
      </c>
      <c r="P436" s="31" t="str">
        <f t="shared" si="31"/>
        <v>Normal</v>
      </c>
      <c r="Q436" s="1">
        <v>10934.34</v>
      </c>
      <c r="R436" s="27" t="str">
        <f t="shared" si="32"/>
        <v>Eligible</v>
      </c>
      <c r="S436" s="29" t="str">
        <f t="shared" si="33"/>
        <v>Excellent</v>
      </c>
      <c r="T436" s="33" t="str">
        <f t="shared" si="34"/>
        <v>Priority order</v>
      </c>
      <c r="V436" s="15"/>
    </row>
    <row r="437" spans="1:22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25" t="str">
        <f t="shared" si="30"/>
        <v>Marketplace</v>
      </c>
      <c r="I437" s="1" t="s">
        <v>18</v>
      </c>
      <c r="J437" s="1" t="s">
        <v>52</v>
      </c>
      <c r="K437" s="1" t="s">
        <v>60</v>
      </c>
      <c r="L437" s="1" t="s">
        <v>21</v>
      </c>
      <c r="M437" s="1">
        <v>3</v>
      </c>
      <c r="N437" s="1">
        <v>3986.78</v>
      </c>
      <c r="O437" s="1">
        <v>20</v>
      </c>
      <c r="P437" s="31" t="str">
        <f t="shared" si="31"/>
        <v>Heavy</v>
      </c>
      <c r="Q437" s="1">
        <v>9568.27</v>
      </c>
      <c r="R437" s="27" t="str">
        <f t="shared" si="32"/>
        <v>Not</v>
      </c>
      <c r="S437" s="29" t="str">
        <f t="shared" si="33"/>
        <v>Excellent</v>
      </c>
      <c r="T437" s="33" t="str">
        <f t="shared" si="34"/>
        <v>Priority order</v>
      </c>
      <c r="V437" s="15"/>
    </row>
    <row r="438" spans="1:22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25" t="str">
        <f t="shared" si="30"/>
        <v>Marketplace</v>
      </c>
      <c r="I438" s="1" t="s">
        <v>35</v>
      </c>
      <c r="J438" s="1" t="s">
        <v>57</v>
      </c>
      <c r="K438" s="1" t="s">
        <v>62</v>
      </c>
      <c r="L438" s="1" t="s">
        <v>21</v>
      </c>
      <c r="M438" s="1">
        <v>8</v>
      </c>
      <c r="N438" s="1">
        <v>2846.66</v>
      </c>
      <c r="O438" s="1">
        <v>15</v>
      </c>
      <c r="P438" s="31" t="str">
        <f t="shared" si="31"/>
        <v>Heavy</v>
      </c>
      <c r="Q438" s="1">
        <v>19357.29</v>
      </c>
      <c r="R438" s="27" t="str">
        <f t="shared" si="32"/>
        <v>Not</v>
      </c>
      <c r="S438" s="29" t="str">
        <f t="shared" si="33"/>
        <v>Excellent</v>
      </c>
      <c r="T438" s="33" t="str">
        <f t="shared" si="34"/>
        <v>Priority order</v>
      </c>
      <c r="V438" s="15"/>
    </row>
    <row r="439" spans="1:22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25" t="str">
        <f t="shared" si="30"/>
        <v>Marketplace</v>
      </c>
      <c r="I439" s="1" t="s">
        <v>18</v>
      </c>
      <c r="J439" s="1" t="s">
        <v>26</v>
      </c>
      <c r="K439" s="1" t="s">
        <v>61</v>
      </c>
      <c r="L439" s="1" t="s">
        <v>47</v>
      </c>
      <c r="M439" s="1">
        <v>5</v>
      </c>
      <c r="N439" s="1">
        <v>3116.22</v>
      </c>
      <c r="O439" s="1">
        <v>10</v>
      </c>
      <c r="P439" s="31" t="str">
        <f t="shared" si="31"/>
        <v>Heavy</v>
      </c>
      <c r="Q439" s="1">
        <v>14022.99</v>
      </c>
      <c r="R439" s="27" t="str">
        <f t="shared" si="32"/>
        <v>Not</v>
      </c>
      <c r="S439" s="29" t="str">
        <f t="shared" si="33"/>
        <v>Excellent</v>
      </c>
      <c r="T439" s="33" t="str">
        <f t="shared" si="34"/>
        <v>Priority order</v>
      </c>
      <c r="V439" s="15"/>
    </row>
    <row r="440" spans="1:22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25" t="str">
        <f t="shared" si="30"/>
        <v>Online</v>
      </c>
      <c r="I440" s="1" t="s">
        <v>35</v>
      </c>
      <c r="J440" s="1" t="s">
        <v>49</v>
      </c>
      <c r="K440" s="1" t="s">
        <v>51</v>
      </c>
      <c r="L440" s="1" t="s">
        <v>28</v>
      </c>
      <c r="M440" s="1">
        <v>3</v>
      </c>
      <c r="N440" s="1">
        <v>1448.62</v>
      </c>
      <c r="O440" s="1">
        <v>10</v>
      </c>
      <c r="P440" s="31" t="str">
        <f t="shared" si="31"/>
        <v>Heavy</v>
      </c>
      <c r="Q440" s="1">
        <v>3911.27</v>
      </c>
      <c r="R440" s="27" t="str">
        <f t="shared" si="32"/>
        <v>Not</v>
      </c>
      <c r="S440" s="29" t="str">
        <f t="shared" si="33"/>
        <v>Average</v>
      </c>
      <c r="T440" s="33" t="str">
        <f t="shared" si="34"/>
        <v xml:space="preserve">Normal </v>
      </c>
      <c r="V440" s="15"/>
    </row>
    <row r="441" spans="1:22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25" t="str">
        <f t="shared" si="30"/>
        <v>Online</v>
      </c>
      <c r="I441" s="1" t="s">
        <v>42</v>
      </c>
      <c r="J441" s="1" t="s">
        <v>49</v>
      </c>
      <c r="K441" s="1" t="s">
        <v>50</v>
      </c>
      <c r="L441" s="1" t="s">
        <v>33</v>
      </c>
      <c r="M441" s="1">
        <v>1</v>
      </c>
      <c r="N441" s="1">
        <v>3775.07</v>
      </c>
      <c r="O441" s="1">
        <v>10</v>
      </c>
      <c r="P441" s="31" t="str">
        <f t="shared" si="31"/>
        <v>Heavy</v>
      </c>
      <c r="Q441" s="1">
        <v>3397.56</v>
      </c>
      <c r="R441" s="27" t="str">
        <f t="shared" si="32"/>
        <v>Not</v>
      </c>
      <c r="S441" s="29" t="str">
        <f t="shared" si="33"/>
        <v>Average</v>
      </c>
      <c r="T441" s="33" t="str">
        <f t="shared" si="34"/>
        <v xml:space="preserve">Normal </v>
      </c>
      <c r="V441" s="15"/>
    </row>
    <row r="442" spans="1:22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25" t="str">
        <f t="shared" si="30"/>
        <v>Online</v>
      </c>
      <c r="I442" s="1" t="s">
        <v>42</v>
      </c>
      <c r="J442" s="1" t="s">
        <v>31</v>
      </c>
      <c r="K442" s="1" t="s">
        <v>65</v>
      </c>
      <c r="L442" s="1" t="s">
        <v>45</v>
      </c>
      <c r="M442" s="1">
        <v>3</v>
      </c>
      <c r="N442" s="1">
        <v>2189.4</v>
      </c>
      <c r="O442" s="1">
        <v>20</v>
      </c>
      <c r="P442" s="31" t="str">
        <f t="shared" si="31"/>
        <v>Heavy</v>
      </c>
      <c r="Q442" s="1">
        <v>5254.56</v>
      </c>
      <c r="R442" s="27" t="str">
        <f t="shared" si="32"/>
        <v>Not</v>
      </c>
      <c r="S442" s="29" t="str">
        <f t="shared" si="33"/>
        <v>Good</v>
      </c>
      <c r="T442" s="33" t="str">
        <f t="shared" si="34"/>
        <v xml:space="preserve">Normal </v>
      </c>
      <c r="V442" s="15"/>
    </row>
    <row r="443" spans="1:22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25" t="str">
        <f t="shared" si="30"/>
        <v>Online</v>
      </c>
      <c r="I443" s="1" t="s">
        <v>35</v>
      </c>
      <c r="J443" s="1" t="s">
        <v>57</v>
      </c>
      <c r="K443" s="1" t="s">
        <v>58</v>
      </c>
      <c r="L443" s="1" t="s">
        <v>45</v>
      </c>
      <c r="M443" s="1">
        <v>9</v>
      </c>
      <c r="N443" s="1">
        <v>2969.7</v>
      </c>
      <c r="O443" s="1">
        <v>10</v>
      </c>
      <c r="P443" s="31" t="str">
        <f t="shared" si="31"/>
        <v>Heavy</v>
      </c>
      <c r="Q443" s="1">
        <v>24054.57</v>
      </c>
      <c r="R443" s="27" t="str">
        <f t="shared" si="32"/>
        <v>Not</v>
      </c>
      <c r="S443" s="29" t="str">
        <f t="shared" si="33"/>
        <v>Excellent</v>
      </c>
      <c r="T443" s="33" t="str">
        <f t="shared" si="34"/>
        <v>Priority order</v>
      </c>
      <c r="V443" s="15"/>
    </row>
    <row r="444" spans="1:22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25" t="str">
        <f t="shared" si="30"/>
        <v>Online</v>
      </c>
      <c r="I444" s="1" t="s">
        <v>44</v>
      </c>
      <c r="J444" s="1" t="s">
        <v>31</v>
      </c>
      <c r="K444" s="1" t="s">
        <v>65</v>
      </c>
      <c r="L444" s="1" t="s">
        <v>47</v>
      </c>
      <c r="M444" s="1">
        <v>5</v>
      </c>
      <c r="N444" s="1">
        <v>3707.81</v>
      </c>
      <c r="O444" s="1">
        <v>0</v>
      </c>
      <c r="P444" s="31" t="str">
        <f t="shared" si="31"/>
        <v>Normal</v>
      </c>
      <c r="Q444" s="1">
        <v>18539.05</v>
      </c>
      <c r="R444" s="27" t="str">
        <f t="shared" si="32"/>
        <v>Eligible</v>
      </c>
      <c r="S444" s="29" t="str">
        <f t="shared" si="33"/>
        <v>Excellent</v>
      </c>
      <c r="T444" s="33" t="str">
        <f t="shared" si="34"/>
        <v>Priority order</v>
      </c>
      <c r="V444" s="15"/>
    </row>
    <row r="445" spans="1:22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25" t="str">
        <f t="shared" si="30"/>
        <v>Marketplace</v>
      </c>
      <c r="I445" s="1" t="s">
        <v>18</v>
      </c>
      <c r="J445" s="1" t="s">
        <v>31</v>
      </c>
      <c r="K445" s="1" t="s">
        <v>32</v>
      </c>
      <c r="L445" s="1" t="s">
        <v>21</v>
      </c>
      <c r="M445" s="1">
        <v>2</v>
      </c>
      <c r="N445" s="1">
        <v>3904.44</v>
      </c>
      <c r="O445" s="1">
        <v>10</v>
      </c>
      <c r="P445" s="31" t="str">
        <f t="shared" si="31"/>
        <v>Heavy</v>
      </c>
      <c r="Q445" s="1">
        <v>7027.99</v>
      </c>
      <c r="R445" s="27" t="str">
        <f t="shared" si="32"/>
        <v>Not</v>
      </c>
      <c r="S445" s="29" t="str">
        <f t="shared" si="33"/>
        <v>Excellent</v>
      </c>
      <c r="T445" s="33" t="str">
        <f t="shared" si="34"/>
        <v>Priority order</v>
      </c>
      <c r="V445" s="15"/>
    </row>
    <row r="446" spans="1:22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25" t="str">
        <f t="shared" si="30"/>
        <v>Online</v>
      </c>
      <c r="I446" s="1" t="s">
        <v>18</v>
      </c>
      <c r="J446" s="1" t="s">
        <v>31</v>
      </c>
      <c r="K446" s="1" t="s">
        <v>48</v>
      </c>
      <c r="L446" s="1" t="s">
        <v>47</v>
      </c>
      <c r="M446" s="1">
        <v>7</v>
      </c>
      <c r="N446" s="1">
        <v>3357.84</v>
      </c>
      <c r="O446" s="1">
        <v>15</v>
      </c>
      <c r="P446" s="31" t="str">
        <f t="shared" si="31"/>
        <v>Heavy</v>
      </c>
      <c r="Q446" s="1">
        <v>19979.150000000001</v>
      </c>
      <c r="R446" s="27" t="str">
        <f t="shared" si="32"/>
        <v>Not</v>
      </c>
      <c r="S446" s="29" t="str">
        <f t="shared" si="33"/>
        <v>Excellent</v>
      </c>
      <c r="T446" s="33" t="str">
        <f t="shared" si="34"/>
        <v>Priority order</v>
      </c>
      <c r="V446" s="15"/>
    </row>
    <row r="447" spans="1:22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25" t="str">
        <f t="shared" si="30"/>
        <v>Online</v>
      </c>
      <c r="I447" s="1" t="s">
        <v>42</v>
      </c>
      <c r="J447" s="1" t="s">
        <v>26</v>
      </c>
      <c r="K447" s="1" t="s">
        <v>27</v>
      </c>
      <c r="L447" s="1" t="s">
        <v>28</v>
      </c>
      <c r="M447" s="1">
        <v>2</v>
      </c>
      <c r="N447" s="1">
        <v>1316.62</v>
      </c>
      <c r="O447" s="1">
        <v>0</v>
      </c>
      <c r="P447" s="31" t="str">
        <f t="shared" si="31"/>
        <v>Normal</v>
      </c>
      <c r="Q447" s="1">
        <v>2633.24</v>
      </c>
      <c r="R447" s="27" t="str">
        <f t="shared" si="32"/>
        <v>Not</v>
      </c>
      <c r="S447" s="29" t="str">
        <f t="shared" si="33"/>
        <v>Average</v>
      </c>
      <c r="T447" s="33" t="str">
        <f t="shared" si="34"/>
        <v xml:space="preserve">Normal </v>
      </c>
      <c r="V447" s="15"/>
    </row>
    <row r="448" spans="1:22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25" t="str">
        <f t="shared" si="30"/>
        <v>Online</v>
      </c>
      <c r="I448" s="1" t="s">
        <v>35</v>
      </c>
      <c r="J448" s="1" t="s">
        <v>26</v>
      </c>
      <c r="K448" s="1" t="s">
        <v>69</v>
      </c>
      <c r="L448" s="1" t="s">
        <v>28</v>
      </c>
      <c r="M448" s="1">
        <v>4</v>
      </c>
      <c r="N448" s="1">
        <v>3871.21</v>
      </c>
      <c r="O448" s="1">
        <v>10</v>
      </c>
      <c r="P448" s="31" t="str">
        <f t="shared" si="31"/>
        <v>Heavy</v>
      </c>
      <c r="Q448" s="1">
        <v>13936.36</v>
      </c>
      <c r="R448" s="27" t="str">
        <f t="shared" si="32"/>
        <v>Not</v>
      </c>
      <c r="S448" s="29" t="str">
        <f t="shared" si="33"/>
        <v>Excellent</v>
      </c>
      <c r="T448" s="33" t="str">
        <f t="shared" si="34"/>
        <v>Priority order</v>
      </c>
      <c r="V448" s="15"/>
    </row>
    <row r="449" spans="1:22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25" t="str">
        <f t="shared" si="30"/>
        <v>Marketplace</v>
      </c>
      <c r="I449" s="1" t="s">
        <v>18</v>
      </c>
      <c r="J449" s="1" t="s">
        <v>19</v>
      </c>
      <c r="K449" s="1" t="s">
        <v>20</v>
      </c>
      <c r="L449" s="1" t="s">
        <v>33</v>
      </c>
      <c r="M449" s="1">
        <v>7</v>
      </c>
      <c r="N449" s="1">
        <v>2568.2600000000002</v>
      </c>
      <c r="O449" s="1">
        <v>10</v>
      </c>
      <c r="P449" s="31" t="str">
        <f t="shared" si="31"/>
        <v>Heavy</v>
      </c>
      <c r="Q449" s="1">
        <v>16180.04</v>
      </c>
      <c r="R449" s="27" t="str">
        <f t="shared" si="32"/>
        <v>Not</v>
      </c>
      <c r="S449" s="29" t="str">
        <f t="shared" si="33"/>
        <v>Excellent</v>
      </c>
      <c r="T449" s="33" t="str">
        <f t="shared" si="34"/>
        <v>Priority order</v>
      </c>
      <c r="V449" s="15"/>
    </row>
    <row r="450" spans="1:22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25" t="str">
        <f t="shared" si="30"/>
        <v>Online</v>
      </c>
      <c r="I450" s="1" t="s">
        <v>18</v>
      </c>
      <c r="J450" s="1" t="s">
        <v>19</v>
      </c>
      <c r="K450" s="1" t="s">
        <v>66</v>
      </c>
      <c r="L450" s="1" t="s">
        <v>33</v>
      </c>
      <c r="M450" s="1">
        <v>4</v>
      </c>
      <c r="N450" s="1">
        <v>3732.97</v>
      </c>
      <c r="O450" s="1">
        <v>5</v>
      </c>
      <c r="P450" s="31" t="str">
        <f t="shared" si="31"/>
        <v>Heavy</v>
      </c>
      <c r="Q450" s="1">
        <v>14185.29</v>
      </c>
      <c r="R450" s="27" t="str">
        <f t="shared" si="32"/>
        <v>Eligible</v>
      </c>
      <c r="S450" s="29" t="str">
        <f t="shared" si="33"/>
        <v>Excellent</v>
      </c>
      <c r="T450" s="33" t="str">
        <f t="shared" si="34"/>
        <v>Priority order</v>
      </c>
      <c r="V450" s="15"/>
    </row>
    <row r="451" spans="1:22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25" t="str">
        <f t="shared" ref="H451:H501" si="35">IF(G451:G950&lt;&gt; "Marketplace","Online","Marketplace")</f>
        <v>Marketplace</v>
      </c>
      <c r="I451" s="1" t="s">
        <v>44</v>
      </c>
      <c r="J451" s="1" t="s">
        <v>31</v>
      </c>
      <c r="K451" s="1" t="s">
        <v>32</v>
      </c>
      <c r="L451" s="1" t="s">
        <v>28</v>
      </c>
      <c r="M451" s="1">
        <v>7</v>
      </c>
      <c r="N451" s="1">
        <v>2753</v>
      </c>
      <c r="O451" s="1">
        <v>20</v>
      </c>
      <c r="P451" s="31" t="str">
        <f t="shared" ref="P451:P501" si="36">IF(O451&gt;10%,"Heavy","Normal")</f>
        <v>Heavy</v>
      </c>
      <c r="Q451" s="1">
        <v>15416.8</v>
      </c>
      <c r="R451" s="27" t="str">
        <f t="shared" ref="R451:R501" si="37">IF(AND($Q$2:$Q$501 &gt; 5000, $O$2:$O$501&lt;10),"Eligible","Not")</f>
        <v>Not</v>
      </c>
      <c r="S451" s="29" t="str">
        <f t="shared" ref="S451:S501" si="38">IF(Q451&gt;=7000,"Excellent",(IF(Q451&gt;=4000,"Good","Average")))</f>
        <v>Excellent</v>
      </c>
      <c r="T451" s="33" t="str">
        <f t="shared" ref="T451:T501" si="39">IF(OR(Q451&gt;7000,M451&gt;5),"Priority order","Normal ")</f>
        <v>Priority order</v>
      </c>
      <c r="V451" s="15"/>
    </row>
    <row r="452" spans="1:22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25" t="str">
        <f t="shared" si="35"/>
        <v>Online</v>
      </c>
      <c r="I452" s="1" t="s">
        <v>25</v>
      </c>
      <c r="J452" s="1" t="s">
        <v>57</v>
      </c>
      <c r="K452" s="1" t="s">
        <v>59</v>
      </c>
      <c r="L452" s="1" t="s">
        <v>28</v>
      </c>
      <c r="M452" s="1">
        <v>7</v>
      </c>
      <c r="N452" s="1">
        <v>1332.87</v>
      </c>
      <c r="O452" s="1">
        <v>0</v>
      </c>
      <c r="P452" s="31" t="str">
        <f t="shared" si="36"/>
        <v>Normal</v>
      </c>
      <c r="Q452" s="1">
        <v>9330.09</v>
      </c>
      <c r="R452" s="27" t="str">
        <f t="shared" si="37"/>
        <v>Eligible</v>
      </c>
      <c r="S452" s="29" t="str">
        <f t="shared" si="38"/>
        <v>Excellent</v>
      </c>
      <c r="T452" s="33" t="str">
        <f t="shared" si="39"/>
        <v>Priority order</v>
      </c>
      <c r="V452" s="15"/>
    </row>
    <row r="453" spans="1:22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25" t="str">
        <f t="shared" si="35"/>
        <v>Online</v>
      </c>
      <c r="I453" s="1" t="s">
        <v>42</v>
      </c>
      <c r="J453" s="1" t="s">
        <v>49</v>
      </c>
      <c r="K453" s="1" t="s">
        <v>68</v>
      </c>
      <c r="L453" s="1" t="s">
        <v>28</v>
      </c>
      <c r="M453" s="1">
        <v>1</v>
      </c>
      <c r="N453" s="1">
        <v>1574.59</v>
      </c>
      <c r="O453" s="1">
        <v>5</v>
      </c>
      <c r="P453" s="31" t="str">
        <f t="shared" si="36"/>
        <v>Heavy</v>
      </c>
      <c r="Q453" s="1">
        <v>1495.86</v>
      </c>
      <c r="R453" s="27" t="str">
        <f t="shared" si="37"/>
        <v>Not</v>
      </c>
      <c r="S453" s="29" t="str">
        <f t="shared" si="38"/>
        <v>Average</v>
      </c>
      <c r="T453" s="33" t="str">
        <f t="shared" si="39"/>
        <v xml:space="preserve">Normal </v>
      </c>
      <c r="V453" s="15"/>
    </row>
    <row r="454" spans="1:22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25" t="str">
        <f t="shared" si="35"/>
        <v>Online</v>
      </c>
      <c r="I454" s="1" t="s">
        <v>42</v>
      </c>
      <c r="J454" s="1" t="s">
        <v>26</v>
      </c>
      <c r="K454" s="1" t="s">
        <v>27</v>
      </c>
      <c r="L454" s="1" t="s">
        <v>47</v>
      </c>
      <c r="M454" s="1">
        <v>6</v>
      </c>
      <c r="N454" s="1">
        <v>2269.3200000000002</v>
      </c>
      <c r="O454" s="1">
        <v>15</v>
      </c>
      <c r="P454" s="31" t="str">
        <f t="shared" si="36"/>
        <v>Heavy</v>
      </c>
      <c r="Q454" s="1">
        <v>11573.53</v>
      </c>
      <c r="R454" s="27" t="str">
        <f t="shared" si="37"/>
        <v>Not</v>
      </c>
      <c r="S454" s="29" t="str">
        <f t="shared" si="38"/>
        <v>Excellent</v>
      </c>
      <c r="T454" s="33" t="str">
        <f t="shared" si="39"/>
        <v>Priority order</v>
      </c>
      <c r="V454" s="15"/>
    </row>
    <row r="455" spans="1:22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25" t="str">
        <f t="shared" si="35"/>
        <v>Online</v>
      </c>
      <c r="I455" s="1" t="s">
        <v>25</v>
      </c>
      <c r="J455" s="1" t="s">
        <v>57</v>
      </c>
      <c r="K455" s="1" t="s">
        <v>58</v>
      </c>
      <c r="L455" s="1" t="s">
        <v>28</v>
      </c>
      <c r="M455" s="1">
        <v>9</v>
      </c>
      <c r="N455" s="1">
        <v>3191.56</v>
      </c>
      <c r="O455" s="1">
        <v>20</v>
      </c>
      <c r="P455" s="31" t="str">
        <f t="shared" si="36"/>
        <v>Heavy</v>
      </c>
      <c r="Q455" s="1">
        <v>22979.23</v>
      </c>
      <c r="R455" s="27" t="str">
        <f t="shared" si="37"/>
        <v>Not</v>
      </c>
      <c r="S455" s="29" t="str">
        <f t="shared" si="38"/>
        <v>Excellent</v>
      </c>
      <c r="T455" s="33" t="str">
        <f t="shared" si="39"/>
        <v>Priority order</v>
      </c>
      <c r="V455" s="15"/>
    </row>
    <row r="456" spans="1:22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25" t="str">
        <f t="shared" si="35"/>
        <v>Online</v>
      </c>
      <c r="I456" s="1" t="s">
        <v>18</v>
      </c>
      <c r="J456" s="1" t="s">
        <v>52</v>
      </c>
      <c r="K456" s="1" t="s">
        <v>64</v>
      </c>
      <c r="L456" s="1" t="s">
        <v>45</v>
      </c>
      <c r="M456" s="1">
        <v>2</v>
      </c>
      <c r="N456" s="1">
        <v>1374.23</v>
      </c>
      <c r="O456" s="1">
        <v>0</v>
      </c>
      <c r="P456" s="31" t="str">
        <f t="shared" si="36"/>
        <v>Normal</v>
      </c>
      <c r="Q456" s="1">
        <v>2748.46</v>
      </c>
      <c r="R456" s="27" t="str">
        <f t="shared" si="37"/>
        <v>Not</v>
      </c>
      <c r="S456" s="29" t="str">
        <f t="shared" si="38"/>
        <v>Average</v>
      </c>
      <c r="T456" s="33" t="str">
        <f t="shared" si="39"/>
        <v xml:space="preserve">Normal </v>
      </c>
      <c r="V456" s="15"/>
    </row>
    <row r="457" spans="1:22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25" t="str">
        <f t="shared" si="35"/>
        <v>Online</v>
      </c>
      <c r="I457" s="1" t="s">
        <v>44</v>
      </c>
      <c r="J457" s="1" t="s">
        <v>26</v>
      </c>
      <c r="K457" s="1" t="s">
        <v>27</v>
      </c>
      <c r="L457" s="1" t="s">
        <v>21</v>
      </c>
      <c r="M457" s="1">
        <v>3</v>
      </c>
      <c r="N457" s="1">
        <v>2381.96</v>
      </c>
      <c r="O457" s="1">
        <v>10</v>
      </c>
      <c r="P457" s="31" t="str">
        <f t="shared" si="36"/>
        <v>Heavy</v>
      </c>
      <c r="Q457" s="1">
        <v>6431.29</v>
      </c>
      <c r="R457" s="27" t="str">
        <f t="shared" si="37"/>
        <v>Not</v>
      </c>
      <c r="S457" s="29" t="str">
        <f t="shared" si="38"/>
        <v>Good</v>
      </c>
      <c r="T457" s="33" t="str">
        <f t="shared" si="39"/>
        <v xml:space="preserve">Normal </v>
      </c>
      <c r="V457" s="15"/>
    </row>
    <row r="458" spans="1:22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25" t="str">
        <f t="shared" si="35"/>
        <v>Online</v>
      </c>
      <c r="I458" s="1" t="s">
        <v>44</v>
      </c>
      <c r="J458" s="1" t="s">
        <v>26</v>
      </c>
      <c r="K458" s="1" t="s">
        <v>27</v>
      </c>
      <c r="L458" s="1" t="s">
        <v>28</v>
      </c>
      <c r="M458" s="1">
        <v>5</v>
      </c>
      <c r="N458" s="1">
        <v>1480.66</v>
      </c>
      <c r="O458" s="1">
        <v>0</v>
      </c>
      <c r="P458" s="31" t="str">
        <f t="shared" si="36"/>
        <v>Normal</v>
      </c>
      <c r="Q458" s="1">
        <v>7403.3</v>
      </c>
      <c r="R458" s="27" t="str">
        <f t="shared" si="37"/>
        <v>Eligible</v>
      </c>
      <c r="S458" s="29" t="str">
        <f t="shared" si="38"/>
        <v>Excellent</v>
      </c>
      <c r="T458" s="33" t="str">
        <f t="shared" si="39"/>
        <v>Priority order</v>
      </c>
      <c r="V458" s="15"/>
    </row>
    <row r="459" spans="1:22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25" t="str">
        <f t="shared" si="35"/>
        <v>Online</v>
      </c>
      <c r="I459" s="1" t="s">
        <v>42</v>
      </c>
      <c r="J459" s="1" t="s">
        <v>19</v>
      </c>
      <c r="K459" s="1" t="s">
        <v>55</v>
      </c>
      <c r="L459" s="1" t="s">
        <v>21</v>
      </c>
      <c r="M459" s="1">
        <v>9</v>
      </c>
      <c r="N459" s="1">
        <v>3290.71</v>
      </c>
      <c r="O459" s="1">
        <v>10</v>
      </c>
      <c r="P459" s="31" t="str">
        <f t="shared" si="36"/>
        <v>Heavy</v>
      </c>
      <c r="Q459" s="1">
        <v>26654.75</v>
      </c>
      <c r="R459" s="27" t="str">
        <f t="shared" si="37"/>
        <v>Not</v>
      </c>
      <c r="S459" s="29" t="str">
        <f t="shared" si="38"/>
        <v>Excellent</v>
      </c>
      <c r="T459" s="33" t="str">
        <f t="shared" si="39"/>
        <v>Priority order</v>
      </c>
      <c r="V459" s="15"/>
    </row>
    <row r="460" spans="1:22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25" t="str">
        <f t="shared" si="35"/>
        <v>Marketplace</v>
      </c>
      <c r="I460" s="1" t="s">
        <v>44</v>
      </c>
      <c r="J460" s="1" t="s">
        <v>49</v>
      </c>
      <c r="K460" s="1" t="s">
        <v>63</v>
      </c>
      <c r="L460" s="1" t="s">
        <v>47</v>
      </c>
      <c r="M460" s="1">
        <v>4</v>
      </c>
      <c r="N460" s="1">
        <v>1946.9</v>
      </c>
      <c r="O460" s="1">
        <v>20</v>
      </c>
      <c r="P460" s="31" t="str">
        <f t="shared" si="36"/>
        <v>Heavy</v>
      </c>
      <c r="Q460" s="1">
        <v>6230.08</v>
      </c>
      <c r="R460" s="27" t="str">
        <f t="shared" si="37"/>
        <v>Not</v>
      </c>
      <c r="S460" s="29" t="str">
        <f t="shared" si="38"/>
        <v>Good</v>
      </c>
      <c r="T460" s="33" t="str">
        <f t="shared" si="39"/>
        <v xml:space="preserve">Normal </v>
      </c>
      <c r="V460" s="15"/>
    </row>
    <row r="461" spans="1:22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25" t="str">
        <f t="shared" si="35"/>
        <v>Online</v>
      </c>
      <c r="I461" s="1" t="s">
        <v>25</v>
      </c>
      <c r="J461" s="1" t="s">
        <v>49</v>
      </c>
      <c r="K461" s="1" t="s">
        <v>50</v>
      </c>
      <c r="L461" s="1" t="s">
        <v>21</v>
      </c>
      <c r="M461" s="1">
        <v>1</v>
      </c>
      <c r="N461" s="1">
        <v>445.38</v>
      </c>
      <c r="O461" s="1">
        <v>10</v>
      </c>
      <c r="P461" s="31" t="str">
        <f t="shared" si="36"/>
        <v>Heavy</v>
      </c>
      <c r="Q461" s="1">
        <v>400.84</v>
      </c>
      <c r="R461" s="27" t="str">
        <f t="shared" si="37"/>
        <v>Not</v>
      </c>
      <c r="S461" s="29" t="str">
        <f t="shared" si="38"/>
        <v>Average</v>
      </c>
      <c r="T461" s="33" t="str">
        <f t="shared" si="39"/>
        <v xml:space="preserve">Normal </v>
      </c>
      <c r="V461" s="15"/>
    </row>
    <row r="462" spans="1:22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25" t="str">
        <f t="shared" si="35"/>
        <v>Marketplace</v>
      </c>
      <c r="I462" s="1" t="s">
        <v>18</v>
      </c>
      <c r="J462" s="1" t="s">
        <v>52</v>
      </c>
      <c r="K462" s="1" t="s">
        <v>64</v>
      </c>
      <c r="L462" s="1" t="s">
        <v>47</v>
      </c>
      <c r="M462" s="1">
        <v>4</v>
      </c>
      <c r="N462" s="1">
        <v>789.3</v>
      </c>
      <c r="O462" s="1">
        <v>15</v>
      </c>
      <c r="P462" s="31" t="str">
        <f t="shared" si="36"/>
        <v>Heavy</v>
      </c>
      <c r="Q462" s="1">
        <v>2683.62</v>
      </c>
      <c r="R462" s="27" t="str">
        <f t="shared" si="37"/>
        <v>Not</v>
      </c>
      <c r="S462" s="29" t="str">
        <f t="shared" si="38"/>
        <v>Average</v>
      </c>
      <c r="T462" s="33" t="str">
        <f t="shared" si="39"/>
        <v xml:space="preserve">Normal </v>
      </c>
      <c r="V462" s="15"/>
    </row>
    <row r="463" spans="1:22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25" t="str">
        <f t="shared" si="35"/>
        <v>Online</v>
      </c>
      <c r="I463" s="1" t="s">
        <v>25</v>
      </c>
      <c r="J463" s="1" t="s">
        <v>52</v>
      </c>
      <c r="K463" s="1" t="s">
        <v>64</v>
      </c>
      <c r="L463" s="1" t="s">
        <v>45</v>
      </c>
      <c r="M463" s="1">
        <v>6</v>
      </c>
      <c r="N463" s="1">
        <v>385.25</v>
      </c>
      <c r="O463" s="1">
        <v>10</v>
      </c>
      <c r="P463" s="31" t="str">
        <f t="shared" si="36"/>
        <v>Heavy</v>
      </c>
      <c r="Q463" s="1">
        <v>2080.35</v>
      </c>
      <c r="R463" s="27" t="str">
        <f t="shared" si="37"/>
        <v>Not</v>
      </c>
      <c r="S463" s="29" t="str">
        <f t="shared" si="38"/>
        <v>Average</v>
      </c>
      <c r="T463" s="33" t="str">
        <f t="shared" si="39"/>
        <v>Priority order</v>
      </c>
      <c r="V463" s="15"/>
    </row>
    <row r="464" spans="1:22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25" t="str">
        <f t="shared" si="35"/>
        <v>Online</v>
      </c>
      <c r="I464" s="1" t="s">
        <v>35</v>
      </c>
      <c r="J464" s="1" t="s">
        <v>26</v>
      </c>
      <c r="K464" s="1" t="s">
        <v>36</v>
      </c>
      <c r="L464" s="1" t="s">
        <v>47</v>
      </c>
      <c r="M464" s="1">
        <v>5</v>
      </c>
      <c r="N464" s="1">
        <v>2072.3200000000002</v>
      </c>
      <c r="O464" s="1">
        <v>15</v>
      </c>
      <c r="P464" s="31" t="str">
        <f t="shared" si="36"/>
        <v>Heavy</v>
      </c>
      <c r="Q464" s="1">
        <v>8807.36</v>
      </c>
      <c r="R464" s="27" t="str">
        <f t="shared" si="37"/>
        <v>Not</v>
      </c>
      <c r="S464" s="29" t="str">
        <f t="shared" si="38"/>
        <v>Excellent</v>
      </c>
      <c r="T464" s="33" t="str">
        <f t="shared" si="39"/>
        <v>Priority order</v>
      </c>
      <c r="V464" s="15"/>
    </row>
    <row r="465" spans="1:22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25" t="str">
        <f t="shared" si="35"/>
        <v>Marketplace</v>
      </c>
      <c r="I465" s="1" t="s">
        <v>42</v>
      </c>
      <c r="J465" s="1" t="s">
        <v>31</v>
      </c>
      <c r="K465" s="1" t="s">
        <v>65</v>
      </c>
      <c r="L465" s="1" t="s">
        <v>47</v>
      </c>
      <c r="M465" s="1">
        <v>1</v>
      </c>
      <c r="N465" s="1">
        <v>559.4</v>
      </c>
      <c r="O465" s="1">
        <v>20</v>
      </c>
      <c r="P465" s="31" t="str">
        <f t="shared" si="36"/>
        <v>Heavy</v>
      </c>
      <c r="Q465" s="1">
        <v>447.52</v>
      </c>
      <c r="R465" s="27" t="str">
        <f t="shared" si="37"/>
        <v>Not</v>
      </c>
      <c r="S465" s="29" t="str">
        <f t="shared" si="38"/>
        <v>Average</v>
      </c>
      <c r="T465" s="33" t="str">
        <f t="shared" si="39"/>
        <v xml:space="preserve">Normal </v>
      </c>
      <c r="V465" s="15"/>
    </row>
    <row r="466" spans="1:22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25" t="str">
        <f t="shared" si="35"/>
        <v>Marketplace</v>
      </c>
      <c r="I466" s="1" t="s">
        <v>44</v>
      </c>
      <c r="J466" s="1" t="s">
        <v>19</v>
      </c>
      <c r="K466" s="1" t="s">
        <v>43</v>
      </c>
      <c r="L466" s="1" t="s">
        <v>33</v>
      </c>
      <c r="M466" s="1">
        <v>4</v>
      </c>
      <c r="N466" s="1">
        <v>589.44000000000005</v>
      </c>
      <c r="O466" s="1">
        <v>20</v>
      </c>
      <c r="P466" s="31" t="str">
        <f t="shared" si="36"/>
        <v>Heavy</v>
      </c>
      <c r="Q466" s="1">
        <v>1886.21</v>
      </c>
      <c r="R466" s="27" t="str">
        <f t="shared" si="37"/>
        <v>Not</v>
      </c>
      <c r="S466" s="29" t="str">
        <f t="shared" si="38"/>
        <v>Average</v>
      </c>
      <c r="T466" s="33" t="str">
        <f t="shared" si="39"/>
        <v xml:space="preserve">Normal </v>
      </c>
      <c r="V466" s="15"/>
    </row>
    <row r="467" spans="1:22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25" t="str">
        <f t="shared" si="35"/>
        <v>Marketplace</v>
      </c>
      <c r="I467" s="1" t="s">
        <v>35</v>
      </c>
      <c r="J467" s="1" t="s">
        <v>19</v>
      </c>
      <c r="K467" s="1" t="s">
        <v>43</v>
      </c>
      <c r="L467" s="1" t="s">
        <v>28</v>
      </c>
      <c r="M467" s="1">
        <v>6</v>
      </c>
      <c r="N467" s="1">
        <v>3773.04</v>
      </c>
      <c r="O467" s="1">
        <v>0</v>
      </c>
      <c r="P467" s="31" t="str">
        <f t="shared" si="36"/>
        <v>Normal</v>
      </c>
      <c r="Q467" s="1">
        <v>22638.240000000002</v>
      </c>
      <c r="R467" s="27" t="str">
        <f t="shared" si="37"/>
        <v>Eligible</v>
      </c>
      <c r="S467" s="29" t="str">
        <f t="shared" si="38"/>
        <v>Excellent</v>
      </c>
      <c r="T467" s="33" t="str">
        <f t="shared" si="39"/>
        <v>Priority order</v>
      </c>
      <c r="V467" s="15"/>
    </row>
    <row r="468" spans="1:22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25" t="str">
        <f t="shared" si="35"/>
        <v>Online</v>
      </c>
      <c r="I468" s="1" t="s">
        <v>44</v>
      </c>
      <c r="J468" s="1" t="s">
        <v>26</v>
      </c>
      <c r="K468" s="1" t="s">
        <v>69</v>
      </c>
      <c r="L468" s="1" t="s">
        <v>28</v>
      </c>
      <c r="M468" s="1">
        <v>4</v>
      </c>
      <c r="N468" s="1">
        <v>3509.72</v>
      </c>
      <c r="O468" s="1">
        <v>15</v>
      </c>
      <c r="P468" s="31" t="str">
        <f t="shared" si="36"/>
        <v>Heavy</v>
      </c>
      <c r="Q468" s="1">
        <v>11933.05</v>
      </c>
      <c r="R468" s="27" t="str">
        <f t="shared" si="37"/>
        <v>Not</v>
      </c>
      <c r="S468" s="29" t="str">
        <f t="shared" si="38"/>
        <v>Excellent</v>
      </c>
      <c r="T468" s="33" t="str">
        <f t="shared" si="39"/>
        <v>Priority order</v>
      </c>
      <c r="V468" s="15"/>
    </row>
    <row r="469" spans="1:22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25" t="str">
        <f t="shared" si="35"/>
        <v>Online</v>
      </c>
      <c r="I469" s="1" t="s">
        <v>18</v>
      </c>
      <c r="J469" s="1" t="s">
        <v>57</v>
      </c>
      <c r="K469" s="1" t="s">
        <v>59</v>
      </c>
      <c r="L469" s="1" t="s">
        <v>45</v>
      </c>
      <c r="M469" s="1">
        <v>9</v>
      </c>
      <c r="N469" s="1">
        <v>1890.53</v>
      </c>
      <c r="O469" s="1">
        <v>15</v>
      </c>
      <c r="P469" s="31" t="str">
        <f t="shared" si="36"/>
        <v>Heavy</v>
      </c>
      <c r="Q469" s="1">
        <v>14462.55</v>
      </c>
      <c r="R469" s="27" t="str">
        <f t="shared" si="37"/>
        <v>Not</v>
      </c>
      <c r="S469" s="29" t="str">
        <f t="shared" si="38"/>
        <v>Excellent</v>
      </c>
      <c r="T469" s="33" t="str">
        <f t="shared" si="39"/>
        <v>Priority order</v>
      </c>
      <c r="V469" s="15"/>
    </row>
    <row r="470" spans="1:22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25" t="str">
        <f t="shared" si="35"/>
        <v>Marketplace</v>
      </c>
      <c r="I470" s="1" t="s">
        <v>18</v>
      </c>
      <c r="J470" s="1" t="s">
        <v>31</v>
      </c>
      <c r="K470" s="1" t="s">
        <v>48</v>
      </c>
      <c r="L470" s="1" t="s">
        <v>45</v>
      </c>
      <c r="M470" s="1">
        <v>5</v>
      </c>
      <c r="N470" s="1">
        <v>3945.35</v>
      </c>
      <c r="O470" s="1">
        <v>5</v>
      </c>
      <c r="P470" s="31" t="str">
        <f t="shared" si="36"/>
        <v>Heavy</v>
      </c>
      <c r="Q470" s="1">
        <v>18740.41</v>
      </c>
      <c r="R470" s="27" t="str">
        <f t="shared" si="37"/>
        <v>Eligible</v>
      </c>
      <c r="S470" s="29" t="str">
        <f t="shared" si="38"/>
        <v>Excellent</v>
      </c>
      <c r="T470" s="33" t="str">
        <f t="shared" si="39"/>
        <v>Priority order</v>
      </c>
      <c r="V470" s="15"/>
    </row>
    <row r="471" spans="1:22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25" t="str">
        <f t="shared" si="35"/>
        <v>Marketplace</v>
      </c>
      <c r="I471" s="1" t="s">
        <v>18</v>
      </c>
      <c r="J471" s="1" t="s">
        <v>26</v>
      </c>
      <c r="K471" s="1" t="s">
        <v>36</v>
      </c>
      <c r="L471" s="1" t="s">
        <v>28</v>
      </c>
      <c r="M471" s="1">
        <v>8</v>
      </c>
      <c r="N471" s="1">
        <v>150.72</v>
      </c>
      <c r="O471" s="1">
        <v>5</v>
      </c>
      <c r="P471" s="31" t="str">
        <f t="shared" si="36"/>
        <v>Heavy</v>
      </c>
      <c r="Q471" s="1">
        <v>1145.47</v>
      </c>
      <c r="R471" s="27" t="str">
        <f t="shared" si="37"/>
        <v>Not</v>
      </c>
      <c r="S471" s="29" t="str">
        <f t="shared" si="38"/>
        <v>Average</v>
      </c>
      <c r="T471" s="33" t="str">
        <f t="shared" si="39"/>
        <v>Priority order</v>
      </c>
      <c r="V471" s="15"/>
    </row>
    <row r="472" spans="1:22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25" t="str">
        <f t="shared" si="35"/>
        <v>Online</v>
      </c>
      <c r="I472" s="1" t="s">
        <v>44</v>
      </c>
      <c r="J472" s="1" t="s">
        <v>31</v>
      </c>
      <c r="K472" s="1" t="s">
        <v>48</v>
      </c>
      <c r="L472" s="1" t="s">
        <v>33</v>
      </c>
      <c r="M472" s="1">
        <v>9</v>
      </c>
      <c r="N472" s="1">
        <v>2513.8200000000002</v>
      </c>
      <c r="O472" s="1">
        <v>5</v>
      </c>
      <c r="P472" s="31" t="str">
        <f t="shared" si="36"/>
        <v>Heavy</v>
      </c>
      <c r="Q472" s="1">
        <v>21493.16</v>
      </c>
      <c r="R472" s="27" t="str">
        <f t="shared" si="37"/>
        <v>Eligible</v>
      </c>
      <c r="S472" s="29" t="str">
        <f t="shared" si="38"/>
        <v>Excellent</v>
      </c>
      <c r="T472" s="33" t="str">
        <f t="shared" si="39"/>
        <v>Priority order</v>
      </c>
      <c r="V472" s="15"/>
    </row>
    <row r="473" spans="1:22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25" t="str">
        <f t="shared" si="35"/>
        <v>Marketplace</v>
      </c>
      <c r="I473" s="1" t="s">
        <v>35</v>
      </c>
      <c r="J473" s="1" t="s">
        <v>31</v>
      </c>
      <c r="K473" s="1" t="s">
        <v>48</v>
      </c>
      <c r="L473" s="1" t="s">
        <v>28</v>
      </c>
      <c r="M473" s="1">
        <v>5</v>
      </c>
      <c r="N473" s="1">
        <v>2523.25</v>
      </c>
      <c r="O473" s="1">
        <v>10</v>
      </c>
      <c r="P473" s="31" t="str">
        <f t="shared" si="36"/>
        <v>Heavy</v>
      </c>
      <c r="Q473" s="1">
        <v>11354.63</v>
      </c>
      <c r="R473" s="27" t="str">
        <f t="shared" si="37"/>
        <v>Not</v>
      </c>
      <c r="S473" s="29" t="str">
        <f t="shared" si="38"/>
        <v>Excellent</v>
      </c>
      <c r="T473" s="33" t="str">
        <f t="shared" si="39"/>
        <v>Priority order</v>
      </c>
      <c r="V473" s="15"/>
    </row>
    <row r="474" spans="1:22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25" t="str">
        <f t="shared" si="35"/>
        <v>Marketplace</v>
      </c>
      <c r="I474" s="1" t="s">
        <v>18</v>
      </c>
      <c r="J474" s="1" t="s">
        <v>31</v>
      </c>
      <c r="K474" s="1" t="s">
        <v>48</v>
      </c>
      <c r="L474" s="1" t="s">
        <v>33</v>
      </c>
      <c r="M474" s="1">
        <v>6</v>
      </c>
      <c r="N474" s="1">
        <v>1911.16</v>
      </c>
      <c r="O474" s="1">
        <v>5</v>
      </c>
      <c r="P474" s="31" t="str">
        <f t="shared" si="36"/>
        <v>Heavy</v>
      </c>
      <c r="Q474" s="1">
        <v>10893.61</v>
      </c>
      <c r="R474" s="27" t="str">
        <f t="shared" si="37"/>
        <v>Eligible</v>
      </c>
      <c r="S474" s="29" t="str">
        <f t="shared" si="38"/>
        <v>Excellent</v>
      </c>
      <c r="T474" s="33" t="str">
        <f t="shared" si="39"/>
        <v>Priority order</v>
      </c>
      <c r="V474" s="15"/>
    </row>
    <row r="475" spans="1:22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25" t="str">
        <f t="shared" si="35"/>
        <v>Online</v>
      </c>
      <c r="I475" s="1" t="s">
        <v>35</v>
      </c>
      <c r="J475" s="1" t="s">
        <v>26</v>
      </c>
      <c r="K475" s="1" t="s">
        <v>27</v>
      </c>
      <c r="L475" s="1" t="s">
        <v>45</v>
      </c>
      <c r="M475" s="1">
        <v>1</v>
      </c>
      <c r="N475" s="1">
        <v>1678.25</v>
      </c>
      <c r="O475" s="1">
        <v>15</v>
      </c>
      <c r="P475" s="31" t="str">
        <f t="shared" si="36"/>
        <v>Heavy</v>
      </c>
      <c r="Q475" s="1">
        <v>1426.51</v>
      </c>
      <c r="R475" s="27" t="str">
        <f t="shared" si="37"/>
        <v>Not</v>
      </c>
      <c r="S475" s="29" t="str">
        <f t="shared" si="38"/>
        <v>Average</v>
      </c>
      <c r="T475" s="33" t="str">
        <f t="shared" si="39"/>
        <v xml:space="preserve">Normal </v>
      </c>
      <c r="V475" s="15"/>
    </row>
    <row r="476" spans="1:22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25" t="str">
        <f t="shared" si="35"/>
        <v>Marketplace</v>
      </c>
      <c r="I476" s="1" t="s">
        <v>44</v>
      </c>
      <c r="J476" s="1" t="s">
        <v>19</v>
      </c>
      <c r="K476" s="1" t="s">
        <v>55</v>
      </c>
      <c r="L476" s="1" t="s">
        <v>21</v>
      </c>
      <c r="M476" s="1">
        <v>7</v>
      </c>
      <c r="N476" s="1">
        <v>1903.23</v>
      </c>
      <c r="O476" s="1">
        <v>10</v>
      </c>
      <c r="P476" s="31" t="str">
        <f>IF(O476&gt;10%,"Heavy","Normal")</f>
        <v>Heavy</v>
      </c>
      <c r="Q476" s="1">
        <v>11990.35</v>
      </c>
      <c r="R476" s="27" t="str">
        <f t="shared" si="37"/>
        <v>Not</v>
      </c>
      <c r="S476" s="29" t="str">
        <f t="shared" si="38"/>
        <v>Excellent</v>
      </c>
      <c r="T476" s="33" t="str">
        <f t="shared" si="39"/>
        <v>Priority order</v>
      </c>
      <c r="V476" s="15"/>
    </row>
    <row r="477" spans="1:22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25" t="str">
        <f t="shared" si="35"/>
        <v>Marketplace</v>
      </c>
      <c r="I477" s="1" t="s">
        <v>35</v>
      </c>
      <c r="J477" s="1" t="s">
        <v>19</v>
      </c>
      <c r="K477" s="1" t="s">
        <v>20</v>
      </c>
      <c r="L477" s="1" t="s">
        <v>45</v>
      </c>
      <c r="M477" s="1">
        <v>4</v>
      </c>
      <c r="N477" s="1">
        <v>1747.6</v>
      </c>
      <c r="O477" s="1">
        <v>20</v>
      </c>
      <c r="P477" s="31" t="str">
        <f t="shared" si="36"/>
        <v>Heavy</v>
      </c>
      <c r="Q477" s="1">
        <v>5592.32</v>
      </c>
      <c r="R477" s="27" t="str">
        <f t="shared" si="37"/>
        <v>Not</v>
      </c>
      <c r="S477" s="29" t="str">
        <f t="shared" si="38"/>
        <v>Good</v>
      </c>
      <c r="T477" s="33" t="str">
        <f t="shared" si="39"/>
        <v xml:space="preserve">Normal </v>
      </c>
      <c r="V477" s="15"/>
    </row>
    <row r="478" spans="1:22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25" t="str">
        <f t="shared" si="35"/>
        <v>Marketplace</v>
      </c>
      <c r="I478" s="1" t="s">
        <v>44</v>
      </c>
      <c r="J478" s="1" t="s">
        <v>31</v>
      </c>
      <c r="K478" s="1" t="s">
        <v>48</v>
      </c>
      <c r="L478" s="1" t="s">
        <v>45</v>
      </c>
      <c r="M478" s="1">
        <v>2</v>
      </c>
      <c r="N478" s="1">
        <v>2962.4</v>
      </c>
      <c r="O478" s="1">
        <v>0</v>
      </c>
      <c r="P478" s="31" t="str">
        <f t="shared" si="36"/>
        <v>Normal</v>
      </c>
      <c r="Q478" s="1">
        <v>5924.8</v>
      </c>
      <c r="R478" s="27" t="str">
        <f t="shared" si="37"/>
        <v>Eligible</v>
      </c>
      <c r="S478" s="29" t="str">
        <f t="shared" si="38"/>
        <v>Good</v>
      </c>
      <c r="T478" s="33" t="str">
        <f t="shared" si="39"/>
        <v xml:space="preserve">Normal </v>
      </c>
      <c r="V478" s="15"/>
    </row>
    <row r="479" spans="1:22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25" t="str">
        <f t="shared" si="35"/>
        <v>Online</v>
      </c>
      <c r="I479" s="1" t="s">
        <v>44</v>
      </c>
      <c r="J479" s="1" t="s">
        <v>57</v>
      </c>
      <c r="K479" s="1" t="s">
        <v>62</v>
      </c>
      <c r="L479" s="1" t="s">
        <v>47</v>
      </c>
      <c r="M479" s="1">
        <v>5</v>
      </c>
      <c r="N479" s="1">
        <v>671.12</v>
      </c>
      <c r="O479" s="1">
        <v>5</v>
      </c>
      <c r="P479" s="31" t="str">
        <f t="shared" si="36"/>
        <v>Heavy</v>
      </c>
      <c r="Q479" s="1">
        <v>3187.82</v>
      </c>
      <c r="R479" s="27" t="str">
        <f t="shared" si="37"/>
        <v>Not</v>
      </c>
      <c r="S479" s="29" t="str">
        <f t="shared" si="38"/>
        <v>Average</v>
      </c>
      <c r="T479" s="33" t="str">
        <f t="shared" si="39"/>
        <v xml:space="preserve">Normal </v>
      </c>
      <c r="V479" s="15"/>
    </row>
    <row r="480" spans="1:22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25" t="str">
        <f t="shared" si="35"/>
        <v>Marketplace</v>
      </c>
      <c r="I480" s="1" t="s">
        <v>42</v>
      </c>
      <c r="J480" s="1" t="s">
        <v>49</v>
      </c>
      <c r="K480" s="1" t="s">
        <v>68</v>
      </c>
      <c r="L480" s="1" t="s">
        <v>47</v>
      </c>
      <c r="M480" s="1">
        <v>3</v>
      </c>
      <c r="N480" s="1">
        <v>910.91</v>
      </c>
      <c r="O480" s="1">
        <v>20</v>
      </c>
      <c r="P480" s="31" t="str">
        <f t="shared" si="36"/>
        <v>Heavy</v>
      </c>
      <c r="Q480" s="1">
        <v>2186.1799999999998</v>
      </c>
      <c r="R480" s="27" t="str">
        <f t="shared" si="37"/>
        <v>Not</v>
      </c>
      <c r="S480" s="29" t="str">
        <f t="shared" si="38"/>
        <v>Average</v>
      </c>
      <c r="T480" s="33" t="str">
        <f t="shared" si="39"/>
        <v xml:space="preserve">Normal </v>
      </c>
      <c r="V480" s="15"/>
    </row>
    <row r="481" spans="1:22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25" t="str">
        <f t="shared" si="35"/>
        <v>Online</v>
      </c>
      <c r="I481" s="1" t="s">
        <v>44</v>
      </c>
      <c r="J481" s="1" t="s">
        <v>26</v>
      </c>
      <c r="K481" s="1" t="s">
        <v>36</v>
      </c>
      <c r="L481" s="1" t="s">
        <v>47</v>
      </c>
      <c r="M481" s="1">
        <v>6</v>
      </c>
      <c r="N481" s="1">
        <v>845</v>
      </c>
      <c r="O481" s="1">
        <v>15</v>
      </c>
      <c r="P481" s="31" t="str">
        <f t="shared" si="36"/>
        <v>Heavy</v>
      </c>
      <c r="Q481" s="1">
        <v>4309.5</v>
      </c>
      <c r="R481" s="27" t="str">
        <f t="shared" si="37"/>
        <v>Not</v>
      </c>
      <c r="S481" s="29" t="str">
        <f t="shared" si="38"/>
        <v>Good</v>
      </c>
      <c r="T481" s="33" t="str">
        <f t="shared" si="39"/>
        <v>Priority order</v>
      </c>
      <c r="V481" s="15"/>
    </row>
    <row r="482" spans="1:22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25" t="str">
        <f t="shared" si="35"/>
        <v>Online</v>
      </c>
      <c r="I482" s="1" t="s">
        <v>44</v>
      </c>
      <c r="J482" s="1" t="s">
        <v>49</v>
      </c>
      <c r="K482" s="1" t="s">
        <v>50</v>
      </c>
      <c r="L482" s="1" t="s">
        <v>47</v>
      </c>
      <c r="M482" s="1">
        <v>8</v>
      </c>
      <c r="N482" s="1">
        <v>1160.51</v>
      </c>
      <c r="O482" s="1">
        <v>0</v>
      </c>
      <c r="P482" s="31" t="str">
        <f t="shared" si="36"/>
        <v>Normal</v>
      </c>
      <c r="Q482" s="1">
        <v>9284.08</v>
      </c>
      <c r="R482" s="27" t="str">
        <f t="shared" si="37"/>
        <v>Eligible</v>
      </c>
      <c r="S482" s="29" t="str">
        <f t="shared" si="38"/>
        <v>Excellent</v>
      </c>
      <c r="T482" s="33" t="str">
        <f t="shared" si="39"/>
        <v>Priority order</v>
      </c>
      <c r="V482" s="15"/>
    </row>
    <row r="483" spans="1:22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25" t="str">
        <f t="shared" si="35"/>
        <v>Online</v>
      </c>
      <c r="I483" s="1" t="s">
        <v>25</v>
      </c>
      <c r="J483" s="1" t="s">
        <v>57</v>
      </c>
      <c r="K483" s="1" t="s">
        <v>67</v>
      </c>
      <c r="L483" s="1" t="s">
        <v>33</v>
      </c>
      <c r="M483" s="1">
        <v>7</v>
      </c>
      <c r="N483" s="1">
        <v>2172.2399999999998</v>
      </c>
      <c r="O483" s="1">
        <v>20</v>
      </c>
      <c r="P483" s="31" t="str">
        <f t="shared" si="36"/>
        <v>Heavy</v>
      </c>
      <c r="Q483" s="1">
        <v>12164.54</v>
      </c>
      <c r="R483" s="27" t="str">
        <f t="shared" si="37"/>
        <v>Not</v>
      </c>
      <c r="S483" s="29" t="str">
        <f t="shared" si="38"/>
        <v>Excellent</v>
      </c>
      <c r="T483" s="33" t="str">
        <f t="shared" si="39"/>
        <v>Priority order</v>
      </c>
      <c r="V483" s="15"/>
    </row>
    <row r="484" spans="1:22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25" t="str">
        <f t="shared" si="35"/>
        <v>Online</v>
      </c>
      <c r="I484" s="1" t="s">
        <v>18</v>
      </c>
      <c r="J484" s="1" t="s">
        <v>26</v>
      </c>
      <c r="K484" s="1" t="s">
        <v>61</v>
      </c>
      <c r="L484" s="1" t="s">
        <v>28</v>
      </c>
      <c r="M484" s="1">
        <v>3</v>
      </c>
      <c r="N484" s="1">
        <v>578.15</v>
      </c>
      <c r="O484" s="1">
        <v>0</v>
      </c>
      <c r="P484" s="31" t="str">
        <f t="shared" si="36"/>
        <v>Normal</v>
      </c>
      <c r="Q484" s="1">
        <v>1734.45</v>
      </c>
      <c r="R484" s="27" t="str">
        <f t="shared" si="37"/>
        <v>Not</v>
      </c>
      <c r="S484" s="29" t="str">
        <f t="shared" si="38"/>
        <v>Average</v>
      </c>
      <c r="T484" s="33" t="str">
        <f t="shared" si="39"/>
        <v xml:space="preserve">Normal </v>
      </c>
      <c r="V484" s="15"/>
    </row>
    <row r="485" spans="1:22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25" t="str">
        <f t="shared" si="35"/>
        <v>Marketplace</v>
      </c>
      <c r="I485" s="1" t="s">
        <v>42</v>
      </c>
      <c r="J485" s="1" t="s">
        <v>31</v>
      </c>
      <c r="K485" s="1" t="s">
        <v>65</v>
      </c>
      <c r="L485" s="1" t="s">
        <v>21</v>
      </c>
      <c r="M485" s="1">
        <v>8</v>
      </c>
      <c r="N485" s="1">
        <v>3492.45</v>
      </c>
      <c r="O485" s="1">
        <v>5</v>
      </c>
      <c r="P485" s="31" t="str">
        <f t="shared" si="36"/>
        <v>Heavy</v>
      </c>
      <c r="Q485" s="1">
        <v>26542.62</v>
      </c>
      <c r="R485" s="27" t="str">
        <f t="shared" si="37"/>
        <v>Eligible</v>
      </c>
      <c r="S485" s="29" t="str">
        <f t="shared" si="38"/>
        <v>Excellent</v>
      </c>
      <c r="T485" s="33" t="str">
        <f t="shared" si="39"/>
        <v>Priority order</v>
      </c>
      <c r="V485" s="15"/>
    </row>
    <row r="486" spans="1:22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25" t="str">
        <f t="shared" si="35"/>
        <v>Online</v>
      </c>
      <c r="I486" s="1" t="s">
        <v>42</v>
      </c>
      <c r="J486" s="1" t="s">
        <v>19</v>
      </c>
      <c r="K486" s="1" t="s">
        <v>43</v>
      </c>
      <c r="L486" s="1" t="s">
        <v>45</v>
      </c>
      <c r="M486" s="1">
        <v>2</v>
      </c>
      <c r="N486" s="1">
        <v>1294.8399999999999</v>
      </c>
      <c r="O486" s="1">
        <v>15</v>
      </c>
      <c r="P486" s="31" t="str">
        <f t="shared" si="36"/>
        <v>Heavy</v>
      </c>
      <c r="Q486" s="1">
        <v>2201.23</v>
      </c>
      <c r="R486" s="27" t="str">
        <f t="shared" si="37"/>
        <v>Not</v>
      </c>
      <c r="S486" s="29" t="str">
        <f t="shared" si="38"/>
        <v>Average</v>
      </c>
      <c r="T486" s="33" t="str">
        <f t="shared" si="39"/>
        <v xml:space="preserve">Normal </v>
      </c>
      <c r="V486" s="15"/>
    </row>
    <row r="487" spans="1:22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25" t="str">
        <f t="shared" si="35"/>
        <v>Online</v>
      </c>
      <c r="I487" s="1" t="s">
        <v>42</v>
      </c>
      <c r="J487" s="1" t="s">
        <v>49</v>
      </c>
      <c r="K487" s="1" t="s">
        <v>63</v>
      </c>
      <c r="L487" s="1" t="s">
        <v>33</v>
      </c>
      <c r="M487" s="1">
        <v>9</v>
      </c>
      <c r="N487" s="1">
        <v>775.77</v>
      </c>
      <c r="O487" s="1">
        <v>0</v>
      </c>
      <c r="P487" s="31" t="str">
        <f t="shared" si="36"/>
        <v>Normal</v>
      </c>
      <c r="Q487" s="1">
        <v>6981.93</v>
      </c>
      <c r="R487" s="27" t="str">
        <f t="shared" si="37"/>
        <v>Eligible</v>
      </c>
      <c r="S487" s="29" t="str">
        <f t="shared" si="38"/>
        <v>Good</v>
      </c>
      <c r="T487" s="33" t="str">
        <f t="shared" si="39"/>
        <v>Priority order</v>
      </c>
      <c r="V487" s="15"/>
    </row>
    <row r="488" spans="1:22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25" t="str">
        <f t="shared" si="35"/>
        <v>Marketplace</v>
      </c>
      <c r="I488" s="1" t="s">
        <v>25</v>
      </c>
      <c r="J488" s="1" t="s">
        <v>52</v>
      </c>
      <c r="K488" s="1" t="s">
        <v>53</v>
      </c>
      <c r="L488" s="1" t="s">
        <v>21</v>
      </c>
      <c r="M488" s="1">
        <v>4</v>
      </c>
      <c r="N488" s="1">
        <v>2751.14</v>
      </c>
      <c r="O488" s="1">
        <v>20</v>
      </c>
      <c r="P488" s="31" t="str">
        <f t="shared" si="36"/>
        <v>Heavy</v>
      </c>
      <c r="Q488" s="1">
        <v>8803.65</v>
      </c>
      <c r="R488" s="27" t="str">
        <f t="shared" si="37"/>
        <v>Not</v>
      </c>
      <c r="S488" s="29" t="str">
        <f t="shared" si="38"/>
        <v>Excellent</v>
      </c>
      <c r="T488" s="33" t="str">
        <f t="shared" si="39"/>
        <v>Priority order</v>
      </c>
      <c r="V488" s="15"/>
    </row>
    <row r="489" spans="1:22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25" t="str">
        <f t="shared" si="35"/>
        <v>Online</v>
      </c>
      <c r="I489" s="1" t="s">
        <v>44</v>
      </c>
      <c r="J489" s="1" t="s">
        <v>52</v>
      </c>
      <c r="K489" s="1" t="s">
        <v>60</v>
      </c>
      <c r="L489" s="1" t="s">
        <v>33</v>
      </c>
      <c r="M489" s="1">
        <v>1</v>
      </c>
      <c r="N489" s="1">
        <v>296.63</v>
      </c>
      <c r="O489" s="1">
        <v>5</v>
      </c>
      <c r="P489" s="31" t="str">
        <f t="shared" si="36"/>
        <v>Heavy</v>
      </c>
      <c r="Q489" s="1">
        <v>281.8</v>
      </c>
      <c r="R489" s="27" t="str">
        <f t="shared" si="37"/>
        <v>Not</v>
      </c>
      <c r="S489" s="29" t="str">
        <f t="shared" si="38"/>
        <v>Average</v>
      </c>
      <c r="T489" s="33" t="str">
        <f t="shared" si="39"/>
        <v xml:space="preserve">Normal </v>
      </c>
      <c r="V489" s="15"/>
    </row>
    <row r="490" spans="1:22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25" t="str">
        <f t="shared" si="35"/>
        <v>Online</v>
      </c>
      <c r="I490" s="1" t="s">
        <v>18</v>
      </c>
      <c r="J490" s="1" t="s">
        <v>57</v>
      </c>
      <c r="K490" s="1" t="s">
        <v>62</v>
      </c>
      <c r="L490" s="1" t="s">
        <v>33</v>
      </c>
      <c r="M490" s="1">
        <v>8</v>
      </c>
      <c r="N490" s="1">
        <v>2536.88</v>
      </c>
      <c r="O490" s="1">
        <v>5</v>
      </c>
      <c r="P490" s="31" t="str">
        <f t="shared" si="36"/>
        <v>Heavy</v>
      </c>
      <c r="Q490" s="1">
        <v>19280.29</v>
      </c>
      <c r="R490" s="27" t="str">
        <f t="shared" si="37"/>
        <v>Eligible</v>
      </c>
      <c r="S490" s="29" t="str">
        <f t="shared" si="38"/>
        <v>Excellent</v>
      </c>
      <c r="T490" s="33" t="str">
        <f t="shared" si="39"/>
        <v>Priority order</v>
      </c>
      <c r="V490" s="15"/>
    </row>
    <row r="491" spans="1:22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25" t="str">
        <f t="shared" si="35"/>
        <v>Online</v>
      </c>
      <c r="I491" s="1" t="s">
        <v>35</v>
      </c>
      <c r="J491" s="1" t="s">
        <v>31</v>
      </c>
      <c r="K491" s="1" t="s">
        <v>32</v>
      </c>
      <c r="L491" s="1" t="s">
        <v>45</v>
      </c>
      <c r="M491" s="1">
        <v>7</v>
      </c>
      <c r="N491" s="1">
        <v>2838.06</v>
      </c>
      <c r="O491" s="1">
        <v>20</v>
      </c>
      <c r="P491" s="31" t="str">
        <f t="shared" si="36"/>
        <v>Heavy</v>
      </c>
      <c r="Q491" s="1">
        <v>15893.14</v>
      </c>
      <c r="R491" s="27" t="str">
        <f t="shared" si="37"/>
        <v>Not</v>
      </c>
      <c r="S491" s="29" t="str">
        <f t="shared" si="38"/>
        <v>Excellent</v>
      </c>
      <c r="T491" s="33" t="str">
        <f t="shared" si="39"/>
        <v>Priority order</v>
      </c>
      <c r="V491" s="15"/>
    </row>
    <row r="492" spans="1:22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25" t="str">
        <f t="shared" si="35"/>
        <v>Online</v>
      </c>
      <c r="I492" s="1" t="s">
        <v>44</v>
      </c>
      <c r="J492" s="1" t="s">
        <v>49</v>
      </c>
      <c r="K492" s="1" t="s">
        <v>63</v>
      </c>
      <c r="L492" s="1" t="s">
        <v>28</v>
      </c>
      <c r="M492" s="1">
        <v>5</v>
      </c>
      <c r="N492" s="1">
        <v>977.43</v>
      </c>
      <c r="O492" s="1">
        <v>20</v>
      </c>
      <c r="P492" s="31" t="str">
        <f t="shared" si="36"/>
        <v>Heavy</v>
      </c>
      <c r="Q492" s="1">
        <v>3909.72</v>
      </c>
      <c r="R492" s="27" t="str">
        <f t="shared" si="37"/>
        <v>Not</v>
      </c>
      <c r="S492" s="29" t="str">
        <f t="shared" si="38"/>
        <v>Average</v>
      </c>
      <c r="T492" s="33" t="str">
        <f t="shared" si="39"/>
        <v xml:space="preserve">Normal </v>
      </c>
      <c r="V492" s="15"/>
    </row>
    <row r="493" spans="1:22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25" t="str">
        <f t="shared" si="35"/>
        <v>Online</v>
      </c>
      <c r="I493" s="1" t="s">
        <v>25</v>
      </c>
      <c r="J493" s="1" t="s">
        <v>31</v>
      </c>
      <c r="K493" s="1" t="s">
        <v>32</v>
      </c>
      <c r="L493" s="1" t="s">
        <v>47</v>
      </c>
      <c r="M493" s="1">
        <v>5</v>
      </c>
      <c r="N493" s="1">
        <v>311.56</v>
      </c>
      <c r="O493" s="1">
        <v>0</v>
      </c>
      <c r="P493" s="31" t="str">
        <f t="shared" si="36"/>
        <v>Normal</v>
      </c>
      <c r="Q493" s="1">
        <v>1557.8</v>
      </c>
      <c r="R493" s="27" t="str">
        <f t="shared" si="37"/>
        <v>Not</v>
      </c>
      <c r="S493" s="29" t="str">
        <f t="shared" si="38"/>
        <v>Average</v>
      </c>
      <c r="T493" s="33" t="str">
        <f t="shared" si="39"/>
        <v xml:space="preserve">Normal </v>
      </c>
      <c r="V493" s="15"/>
    </row>
    <row r="494" spans="1:22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25" t="str">
        <f t="shared" si="35"/>
        <v>Online</v>
      </c>
      <c r="I494" s="1" t="s">
        <v>44</v>
      </c>
      <c r="J494" s="1" t="s">
        <v>49</v>
      </c>
      <c r="K494" s="1" t="s">
        <v>68</v>
      </c>
      <c r="L494" s="1" t="s">
        <v>28</v>
      </c>
      <c r="M494" s="1">
        <v>7</v>
      </c>
      <c r="N494" s="1">
        <v>1550.03</v>
      </c>
      <c r="O494" s="1">
        <v>10</v>
      </c>
      <c r="P494" s="31" t="str">
        <f t="shared" si="36"/>
        <v>Heavy</v>
      </c>
      <c r="Q494" s="1">
        <v>9765.19</v>
      </c>
      <c r="R494" s="27" t="str">
        <f t="shared" si="37"/>
        <v>Not</v>
      </c>
      <c r="S494" s="29" t="str">
        <f t="shared" si="38"/>
        <v>Excellent</v>
      </c>
      <c r="T494" s="33" t="str">
        <f t="shared" si="39"/>
        <v>Priority order</v>
      </c>
      <c r="V494" s="15"/>
    </row>
    <row r="495" spans="1:22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25" t="str">
        <f t="shared" si="35"/>
        <v>Online</v>
      </c>
      <c r="I495" s="1" t="s">
        <v>44</v>
      </c>
      <c r="J495" s="1" t="s">
        <v>57</v>
      </c>
      <c r="K495" s="1" t="s">
        <v>67</v>
      </c>
      <c r="L495" s="1" t="s">
        <v>45</v>
      </c>
      <c r="M495" s="1">
        <v>5</v>
      </c>
      <c r="N495" s="1">
        <v>529.59</v>
      </c>
      <c r="O495" s="1">
        <v>5</v>
      </c>
      <c r="P495" s="31" t="str">
        <f t="shared" si="36"/>
        <v>Heavy</v>
      </c>
      <c r="Q495" s="1">
        <v>2515.5500000000002</v>
      </c>
      <c r="R495" s="27" t="str">
        <f t="shared" si="37"/>
        <v>Not</v>
      </c>
      <c r="S495" s="29" t="str">
        <f t="shared" si="38"/>
        <v>Average</v>
      </c>
      <c r="T495" s="33" t="str">
        <f t="shared" si="39"/>
        <v xml:space="preserve">Normal </v>
      </c>
      <c r="V495" s="15"/>
    </row>
    <row r="496" spans="1:22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25" t="str">
        <f t="shared" si="35"/>
        <v>Marketplace</v>
      </c>
      <c r="I496" s="1" t="s">
        <v>25</v>
      </c>
      <c r="J496" s="1" t="s">
        <v>57</v>
      </c>
      <c r="K496" s="1" t="s">
        <v>59</v>
      </c>
      <c r="L496" s="1" t="s">
        <v>45</v>
      </c>
      <c r="M496" s="1">
        <v>8</v>
      </c>
      <c r="N496" s="1">
        <v>598.44000000000005</v>
      </c>
      <c r="O496" s="1">
        <v>0</v>
      </c>
      <c r="P496" s="31" t="str">
        <f t="shared" si="36"/>
        <v>Normal</v>
      </c>
      <c r="Q496" s="1">
        <v>4787.5200000000004</v>
      </c>
      <c r="R496" s="27" t="str">
        <f t="shared" si="37"/>
        <v>Not</v>
      </c>
      <c r="S496" s="29" t="str">
        <f t="shared" si="38"/>
        <v>Good</v>
      </c>
      <c r="T496" s="33" t="str">
        <f t="shared" si="39"/>
        <v>Priority order</v>
      </c>
      <c r="V496" s="15"/>
    </row>
    <row r="497" spans="1:22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25" t="str">
        <f t="shared" si="35"/>
        <v>Online</v>
      </c>
      <c r="I497" s="1" t="s">
        <v>42</v>
      </c>
      <c r="J497" s="1" t="s">
        <v>52</v>
      </c>
      <c r="K497" s="1" t="s">
        <v>60</v>
      </c>
      <c r="L497" s="1" t="s">
        <v>45</v>
      </c>
      <c r="M497" s="1">
        <v>6</v>
      </c>
      <c r="N497" s="1">
        <v>1128.9100000000001</v>
      </c>
      <c r="O497" s="1">
        <v>20</v>
      </c>
      <c r="P497" s="31" t="str">
        <f t="shared" si="36"/>
        <v>Heavy</v>
      </c>
      <c r="Q497" s="1">
        <v>5418.77</v>
      </c>
      <c r="R497" s="27" t="str">
        <f t="shared" si="37"/>
        <v>Not</v>
      </c>
      <c r="S497" s="29" t="str">
        <f t="shared" si="38"/>
        <v>Good</v>
      </c>
      <c r="T497" s="33" t="str">
        <f t="shared" si="39"/>
        <v>Priority order</v>
      </c>
      <c r="V497" s="15"/>
    </row>
    <row r="498" spans="1:22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25" t="str">
        <f t="shared" si="35"/>
        <v>Online</v>
      </c>
      <c r="I498" s="1" t="s">
        <v>42</v>
      </c>
      <c r="J498" s="1" t="s">
        <v>31</v>
      </c>
      <c r="K498" s="1" t="s">
        <v>39</v>
      </c>
      <c r="L498" s="1" t="s">
        <v>21</v>
      </c>
      <c r="M498" s="1">
        <v>5</v>
      </c>
      <c r="N498" s="1">
        <v>1287.55</v>
      </c>
      <c r="O498" s="1">
        <v>0</v>
      </c>
      <c r="P498" s="31" t="str">
        <f t="shared" si="36"/>
        <v>Normal</v>
      </c>
      <c r="Q498" s="1">
        <v>6437.75</v>
      </c>
      <c r="R498" s="27" t="str">
        <f t="shared" si="37"/>
        <v>Eligible</v>
      </c>
      <c r="S498" s="29" t="str">
        <f t="shared" si="38"/>
        <v>Good</v>
      </c>
      <c r="T498" s="33" t="str">
        <f t="shared" si="39"/>
        <v xml:space="preserve">Normal </v>
      </c>
      <c r="V498" s="15"/>
    </row>
    <row r="499" spans="1:22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25" t="str">
        <f t="shared" si="35"/>
        <v>Marketplace</v>
      </c>
      <c r="I499" s="1" t="s">
        <v>18</v>
      </c>
      <c r="J499" s="1" t="s">
        <v>26</v>
      </c>
      <c r="K499" s="1" t="s">
        <v>36</v>
      </c>
      <c r="L499" s="1" t="s">
        <v>28</v>
      </c>
      <c r="M499" s="1">
        <v>9</v>
      </c>
      <c r="N499" s="1">
        <v>2190.39</v>
      </c>
      <c r="O499" s="1">
        <v>20</v>
      </c>
      <c r="P499" s="31" t="str">
        <f t="shared" si="36"/>
        <v>Heavy</v>
      </c>
      <c r="Q499" s="1">
        <v>15770.81</v>
      </c>
      <c r="R499" s="27" t="str">
        <f t="shared" si="37"/>
        <v>Not</v>
      </c>
      <c r="S499" s="29" t="str">
        <f t="shared" si="38"/>
        <v>Excellent</v>
      </c>
      <c r="T499" s="33" t="str">
        <f t="shared" si="39"/>
        <v>Priority order</v>
      </c>
      <c r="V499" s="15"/>
    </row>
    <row r="500" spans="1:22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25" t="str">
        <f t="shared" si="35"/>
        <v>Online</v>
      </c>
      <c r="I500" s="1" t="s">
        <v>18</v>
      </c>
      <c r="J500" s="1" t="s">
        <v>52</v>
      </c>
      <c r="K500" s="1" t="s">
        <v>60</v>
      </c>
      <c r="L500" s="1" t="s">
        <v>28</v>
      </c>
      <c r="M500" s="1">
        <v>2</v>
      </c>
      <c r="N500" s="1">
        <v>2761.81</v>
      </c>
      <c r="O500" s="1">
        <v>15</v>
      </c>
      <c r="P500" s="31" t="str">
        <f t="shared" si="36"/>
        <v>Heavy</v>
      </c>
      <c r="Q500" s="1">
        <v>4695.08</v>
      </c>
      <c r="R500" s="27" t="str">
        <f t="shared" si="37"/>
        <v>Not</v>
      </c>
      <c r="S500" s="29" t="str">
        <f t="shared" si="38"/>
        <v>Good</v>
      </c>
      <c r="T500" s="33" t="str">
        <f t="shared" si="39"/>
        <v xml:space="preserve">Normal </v>
      </c>
      <c r="V500" s="15"/>
    </row>
    <row r="501" spans="1:22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25" t="str">
        <f t="shared" si="35"/>
        <v>Marketplace</v>
      </c>
      <c r="I501" s="1" t="s">
        <v>42</v>
      </c>
      <c r="J501" s="1" t="s">
        <v>31</v>
      </c>
      <c r="K501" s="1" t="s">
        <v>65</v>
      </c>
      <c r="L501" s="1" t="s">
        <v>33</v>
      </c>
      <c r="M501" s="1">
        <v>1</v>
      </c>
      <c r="N501" s="1">
        <v>2432.17</v>
      </c>
      <c r="O501" s="1">
        <v>20</v>
      </c>
      <c r="P501" s="31" t="str">
        <f t="shared" si="36"/>
        <v>Heavy</v>
      </c>
      <c r="Q501" s="1">
        <v>1945.74</v>
      </c>
      <c r="R501" s="27" t="str">
        <f t="shared" si="37"/>
        <v>Not</v>
      </c>
      <c r="S501" s="29" t="str">
        <f t="shared" si="38"/>
        <v>Average</v>
      </c>
      <c r="T501" s="33" t="str">
        <f t="shared" si="39"/>
        <v xml:space="preserve">Normal </v>
      </c>
      <c r="V501" s="1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6F6B-9695-4763-BA62-E70BAFF16AA6}">
  <dimension ref="A1:H7"/>
  <sheetViews>
    <sheetView workbookViewId="0">
      <selection activeCell="G27" sqref="G27"/>
    </sheetView>
  </sheetViews>
  <sheetFormatPr defaultRowHeight="14.4" x14ac:dyDescent="0.3"/>
  <sheetData>
    <row r="1" spans="1:8" x14ac:dyDescent="0.3">
      <c r="A1" s="3" t="s">
        <v>92</v>
      </c>
      <c r="B1" s="3" t="s">
        <v>93</v>
      </c>
      <c r="C1" s="3" t="s">
        <v>94</v>
      </c>
    </row>
    <row r="2" spans="1:8" x14ac:dyDescent="0.3">
      <c r="A2" s="1" t="s">
        <v>162</v>
      </c>
      <c r="B2" s="1">
        <v>9</v>
      </c>
      <c r="C2" s="20">
        <v>88</v>
      </c>
      <c r="F2" s="3" t="s">
        <v>92</v>
      </c>
      <c r="G2" s="3" t="s">
        <v>93</v>
      </c>
      <c r="H2" s="3" t="s">
        <v>94</v>
      </c>
    </row>
    <row r="3" spans="1:8" x14ac:dyDescent="0.3">
      <c r="A3" s="1" t="s">
        <v>131</v>
      </c>
      <c r="B3" s="1">
        <v>9</v>
      </c>
      <c r="C3" s="17">
        <v>67</v>
      </c>
      <c r="F3" s="1" t="s">
        <v>164</v>
      </c>
      <c r="G3" s="1">
        <v>5</v>
      </c>
      <c r="H3" s="1">
        <v>83</v>
      </c>
    </row>
    <row r="4" spans="1:8" x14ac:dyDescent="0.3">
      <c r="A4" s="1" t="s">
        <v>160</v>
      </c>
      <c r="B4" s="1">
        <v>7</v>
      </c>
      <c r="C4" s="19">
        <v>68</v>
      </c>
      <c r="F4" s="1" t="s">
        <v>165</v>
      </c>
      <c r="G4" s="1">
        <v>6</v>
      </c>
      <c r="H4" s="1">
        <v>97</v>
      </c>
    </row>
    <row r="5" spans="1:8" x14ac:dyDescent="0.3">
      <c r="A5" s="1" t="s">
        <v>161</v>
      </c>
      <c r="B5" s="1">
        <v>6</v>
      </c>
      <c r="C5" s="18">
        <v>70</v>
      </c>
      <c r="F5" s="1" t="s">
        <v>95</v>
      </c>
      <c r="G5" s="1">
        <v>7</v>
      </c>
      <c r="H5" s="1">
        <v>67</v>
      </c>
    </row>
    <row r="6" spans="1:8" x14ac:dyDescent="0.3">
      <c r="F6" s="1" t="s">
        <v>166</v>
      </c>
      <c r="G6" s="1">
        <v>8</v>
      </c>
      <c r="H6" s="1">
        <v>99</v>
      </c>
    </row>
    <row r="7" spans="1:8" x14ac:dyDescent="0.3">
      <c r="A7" t="s">
        <v>163</v>
      </c>
      <c r="F7" s="1" t="s">
        <v>167</v>
      </c>
      <c r="G7" s="1">
        <v>9</v>
      </c>
      <c r="H7" s="1">
        <v>99</v>
      </c>
    </row>
  </sheetData>
  <sortState xmlns:xlrd2="http://schemas.microsoft.com/office/spreadsheetml/2017/richdata2" ref="F3:H7">
    <sortCondition ref="G3:G7"/>
    <sortCondition ref="H3:H7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6719-1FFC-43D2-8729-5901F6565F5D}">
  <dimension ref="A1:AV501"/>
  <sheetViews>
    <sheetView zoomScale="96" workbookViewId="0">
      <selection activeCell="X18" sqref="X18"/>
    </sheetView>
  </sheetViews>
  <sheetFormatPr defaultRowHeight="14.4" x14ac:dyDescent="0.3"/>
  <cols>
    <col min="1" max="1" width="10.21875" bestFit="1" customWidth="1"/>
    <col min="2" max="2" width="13.5546875" bestFit="1" customWidth="1"/>
    <col min="3" max="3" width="12.33203125" bestFit="1" customWidth="1"/>
    <col min="4" max="4" width="11.21875" bestFit="1" customWidth="1"/>
    <col min="5" max="5" width="9.77734375" bestFit="1" customWidth="1"/>
    <col min="6" max="6" width="11.44140625" bestFit="1" customWidth="1"/>
    <col min="7" max="7" width="14.77734375" bestFit="1" customWidth="1"/>
    <col min="8" max="8" width="18.109375" bestFit="1" customWidth="1"/>
    <col min="9" max="9" width="18" bestFit="1" customWidth="1"/>
    <col min="10" max="10" width="15.44140625" bestFit="1" customWidth="1"/>
    <col min="11" max="11" width="8.21875" bestFit="1" customWidth="1"/>
    <col min="12" max="12" width="11.6640625" bestFit="1" customWidth="1"/>
    <col min="13" max="13" width="11.33203125" bestFit="1" customWidth="1"/>
    <col min="14" max="14" width="12.44140625" bestFit="1" customWidth="1"/>
    <col min="15" max="15" width="10.88671875" bestFit="1" customWidth="1"/>
    <col min="16" max="16" width="12" bestFit="1" customWidth="1"/>
    <col min="17" max="17" width="18" bestFit="1" customWidth="1"/>
    <col min="18" max="18" width="20" bestFit="1" customWidth="1"/>
    <col min="19" max="19" width="13.109375" bestFit="1" customWidth="1"/>
    <col min="20" max="21" width="14.6640625" bestFit="1" customWidth="1"/>
    <col min="25" max="25" width="15.88671875" bestFit="1" customWidth="1"/>
    <col min="28" max="28" width="8" bestFit="1" customWidth="1"/>
    <col min="29" max="29" width="11.33203125" bestFit="1" customWidth="1"/>
    <col min="30" max="31" width="10.33203125" bestFit="1" customWidth="1"/>
    <col min="32" max="32" width="7.5546875" bestFit="1" customWidth="1"/>
    <col min="33" max="33" width="11.44140625" bestFit="1" customWidth="1"/>
    <col min="34" max="34" width="12.5546875" bestFit="1" customWidth="1"/>
    <col min="35" max="35" width="15.88671875" bestFit="1" customWidth="1"/>
    <col min="36" max="36" width="15.77734375" bestFit="1" customWidth="1"/>
    <col min="37" max="37" width="13.21875" bestFit="1" customWidth="1"/>
    <col min="38" max="38" width="7" bestFit="1" customWidth="1"/>
    <col min="39" max="39" width="9.44140625" bestFit="1" customWidth="1"/>
    <col min="40" max="40" width="9.109375" bestFit="1" customWidth="1"/>
    <col min="41" max="41" width="10.21875" bestFit="1" customWidth="1"/>
    <col min="42" max="42" width="9" bestFit="1" customWidth="1"/>
    <col min="43" max="43" width="9.77734375" bestFit="1" customWidth="1"/>
    <col min="44" max="44" width="15.77734375" bestFit="1" customWidth="1"/>
    <col min="45" max="45" width="17.77734375" bestFit="1" customWidth="1"/>
    <col min="46" max="46" width="10.88671875" bestFit="1" customWidth="1"/>
    <col min="47" max="48" width="12.44140625" bestFit="1" customWidth="1"/>
  </cols>
  <sheetData>
    <row r="1" spans="1:48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8" t="s">
        <v>70</v>
      </c>
      <c r="Q1" s="7"/>
      <c r="R1" s="10"/>
      <c r="S1" s="7"/>
      <c r="T1" s="7"/>
      <c r="U1" s="7"/>
    </row>
    <row r="2" spans="1:48" x14ac:dyDescent="0.3">
      <c r="A2" s="5">
        <v>10001</v>
      </c>
      <c r="B2" s="1">
        <v>1102</v>
      </c>
      <c r="C2" s="2">
        <v>45197</v>
      </c>
      <c r="D2" s="2">
        <v>45203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7</v>
      </c>
      <c r="M2" s="1">
        <v>2843.87</v>
      </c>
      <c r="N2" s="1">
        <v>0</v>
      </c>
      <c r="O2" s="1">
        <v>19907.09</v>
      </c>
      <c r="P2" s="9">
        <f>L2*M2</f>
        <v>19907.09</v>
      </c>
      <c r="Q2" s="1"/>
      <c r="R2" s="11"/>
      <c r="S2" s="1"/>
      <c r="T2" s="1"/>
      <c r="U2" s="1"/>
    </row>
    <row r="3" spans="1:48" x14ac:dyDescent="0.3">
      <c r="A3" s="5">
        <v>10002</v>
      </c>
      <c r="B3" s="1">
        <v>1435</v>
      </c>
      <c r="C3" s="2">
        <v>45199</v>
      </c>
      <c r="D3" s="2">
        <v>45203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9</v>
      </c>
      <c r="M3" s="1">
        <v>2525.23</v>
      </c>
      <c r="N3" s="1">
        <v>5</v>
      </c>
      <c r="O3" s="1">
        <v>21590.720000000001</v>
      </c>
      <c r="P3" s="9">
        <f t="shared" ref="P3:P66" si="0">L3*M3</f>
        <v>22727.07</v>
      </c>
      <c r="Q3" s="1"/>
      <c r="R3" s="11"/>
      <c r="S3" s="1"/>
      <c r="T3" s="1"/>
      <c r="U3" s="1"/>
    </row>
    <row r="4" spans="1:48" x14ac:dyDescent="0.3">
      <c r="A4" s="5">
        <v>10003</v>
      </c>
      <c r="B4" s="1">
        <v>1860</v>
      </c>
      <c r="C4" s="2">
        <v>45109</v>
      </c>
      <c r="D4" s="2">
        <v>45114</v>
      </c>
      <c r="E4" s="1" t="s">
        <v>15</v>
      </c>
      <c r="F4" s="1" t="s">
        <v>29</v>
      </c>
      <c r="G4" s="1" t="s">
        <v>30</v>
      </c>
      <c r="H4" s="1" t="s">
        <v>25</v>
      </c>
      <c r="I4" s="1" t="s">
        <v>31</v>
      </c>
      <c r="J4" s="1" t="s">
        <v>32</v>
      </c>
      <c r="K4" s="1" t="s">
        <v>33</v>
      </c>
      <c r="L4" s="1">
        <v>6</v>
      </c>
      <c r="M4" s="1">
        <v>3474.34</v>
      </c>
      <c r="N4" s="1">
        <v>15</v>
      </c>
      <c r="O4" s="1">
        <v>17719.13</v>
      </c>
      <c r="P4" s="9">
        <f t="shared" si="0"/>
        <v>20846.04</v>
      </c>
      <c r="Q4" s="1"/>
      <c r="R4" s="11"/>
      <c r="S4" s="1"/>
      <c r="T4" s="1"/>
      <c r="U4" s="1"/>
      <c r="X4" s="3" t="s">
        <v>4</v>
      </c>
    </row>
    <row r="5" spans="1:48" x14ac:dyDescent="0.3">
      <c r="A5" s="5">
        <v>10004</v>
      </c>
      <c r="B5" s="1">
        <v>1270</v>
      </c>
      <c r="C5" s="2">
        <v>45079</v>
      </c>
      <c r="D5" s="2">
        <v>45087</v>
      </c>
      <c r="E5" s="1" t="s">
        <v>34</v>
      </c>
      <c r="F5" s="1" t="s">
        <v>29</v>
      </c>
      <c r="G5" s="1" t="s">
        <v>24</v>
      </c>
      <c r="H5" s="1" t="s">
        <v>35</v>
      </c>
      <c r="I5" s="1" t="s">
        <v>26</v>
      </c>
      <c r="J5" s="1" t="s">
        <v>36</v>
      </c>
      <c r="K5" s="1" t="s">
        <v>21</v>
      </c>
      <c r="L5" s="1">
        <v>1</v>
      </c>
      <c r="M5" s="1">
        <v>1008.79</v>
      </c>
      <c r="N5" s="1">
        <v>15</v>
      </c>
      <c r="O5" s="1">
        <v>857.47</v>
      </c>
      <c r="P5" s="9">
        <f t="shared" si="0"/>
        <v>1008.79</v>
      </c>
      <c r="Q5" s="1"/>
      <c r="R5" s="11"/>
      <c r="S5" s="1"/>
      <c r="T5" s="1"/>
      <c r="U5" s="1"/>
      <c r="X5" s="1" t="s">
        <v>15</v>
      </c>
      <c r="AB5" s="4" t="s">
        <v>0</v>
      </c>
      <c r="AC5" s="3" t="s">
        <v>1</v>
      </c>
      <c r="AD5" s="3" t="s">
        <v>2</v>
      </c>
      <c r="AE5" s="3" t="s">
        <v>3</v>
      </c>
      <c r="AF5" s="3" t="s">
        <v>4</v>
      </c>
      <c r="AG5" s="3" t="s">
        <v>5</v>
      </c>
      <c r="AH5" s="3" t="s">
        <v>6</v>
      </c>
      <c r="AI5" s="3" t="s">
        <v>7</v>
      </c>
      <c r="AJ5" s="3" t="s">
        <v>8</v>
      </c>
      <c r="AK5" s="3" t="s">
        <v>9</v>
      </c>
      <c r="AL5" s="3" t="s">
        <v>10</v>
      </c>
      <c r="AM5" s="3" t="s">
        <v>11</v>
      </c>
      <c r="AN5" s="3" t="s">
        <v>12</v>
      </c>
      <c r="AO5" s="3" t="s">
        <v>13</v>
      </c>
      <c r="AP5" s="3" t="s">
        <v>14</v>
      </c>
      <c r="AQ5" s="8" t="s">
        <v>70</v>
      </c>
      <c r="AR5" s="7" t="s">
        <v>71</v>
      </c>
      <c r="AS5" s="10" t="s">
        <v>72</v>
      </c>
      <c r="AT5" s="7" t="s">
        <v>73</v>
      </c>
      <c r="AU5" s="7" t="s">
        <v>74</v>
      </c>
      <c r="AV5" s="7" t="s">
        <v>75</v>
      </c>
    </row>
    <row r="6" spans="1:48" x14ac:dyDescent="0.3">
      <c r="A6" s="5">
        <v>10005</v>
      </c>
      <c r="B6" s="1">
        <v>1106</v>
      </c>
      <c r="C6" s="2">
        <v>45241</v>
      </c>
      <c r="D6" s="2">
        <v>45244</v>
      </c>
      <c r="E6" s="1" t="s">
        <v>37</v>
      </c>
      <c r="F6" s="1" t="s">
        <v>38</v>
      </c>
      <c r="G6" s="1" t="s">
        <v>30</v>
      </c>
      <c r="H6" s="1" t="s">
        <v>18</v>
      </c>
      <c r="I6" s="1" t="s">
        <v>31</v>
      </c>
      <c r="J6" s="1" t="s">
        <v>39</v>
      </c>
      <c r="K6" s="1" t="s">
        <v>21</v>
      </c>
      <c r="L6" s="1">
        <v>7</v>
      </c>
      <c r="M6" s="1">
        <v>3511.47</v>
      </c>
      <c r="N6" s="1">
        <v>20</v>
      </c>
      <c r="O6" s="1">
        <v>19664.23</v>
      </c>
      <c r="P6" s="9">
        <f t="shared" si="0"/>
        <v>24580.289999999997</v>
      </c>
      <c r="Q6" s="1"/>
      <c r="R6" s="11"/>
      <c r="S6" s="1"/>
      <c r="T6" s="1"/>
      <c r="U6" s="1"/>
      <c r="AB6" s="5">
        <v>10001</v>
      </c>
      <c r="AC6" s="1">
        <v>1102</v>
      </c>
      <c r="AD6" s="2">
        <v>45197</v>
      </c>
      <c r="AE6" s="2">
        <v>45203</v>
      </c>
      <c r="AF6" s="1" t="s">
        <v>15</v>
      </c>
      <c r="AG6" s="1" t="s">
        <v>16</v>
      </c>
      <c r="AH6" s="1" t="s">
        <v>17</v>
      </c>
      <c r="AI6" s="1" t="s">
        <v>18</v>
      </c>
      <c r="AJ6" s="1" t="s">
        <v>19</v>
      </c>
      <c r="AK6" s="1" t="s">
        <v>20</v>
      </c>
      <c r="AL6" s="1" t="s">
        <v>21</v>
      </c>
      <c r="AM6" s="1">
        <v>7</v>
      </c>
      <c r="AN6" s="1">
        <v>2843.87</v>
      </c>
      <c r="AO6" s="1">
        <v>0</v>
      </c>
      <c r="AP6" s="1">
        <v>19907.09</v>
      </c>
      <c r="AQ6" s="9">
        <v>19907.09</v>
      </c>
      <c r="AR6" s="1">
        <v>0</v>
      </c>
      <c r="AS6" s="11">
        <v>19907.09</v>
      </c>
      <c r="AT6" s="1" t="s">
        <v>168</v>
      </c>
      <c r="AU6" s="1" t="e">
        <v>#NAME?</v>
      </c>
      <c r="AV6" s="1" t="s">
        <v>168</v>
      </c>
    </row>
    <row r="7" spans="1:48" x14ac:dyDescent="0.3">
      <c r="A7" s="5">
        <v>10006</v>
      </c>
      <c r="B7" s="1">
        <v>1071</v>
      </c>
      <c r="C7" s="2">
        <v>45260</v>
      </c>
      <c r="D7" s="2">
        <v>45263</v>
      </c>
      <c r="E7" s="1" t="s">
        <v>40</v>
      </c>
      <c r="F7" s="1" t="s">
        <v>41</v>
      </c>
      <c r="G7" s="1" t="s">
        <v>24</v>
      </c>
      <c r="H7" s="1" t="s">
        <v>42</v>
      </c>
      <c r="I7" s="1" t="s">
        <v>19</v>
      </c>
      <c r="J7" s="1" t="s">
        <v>43</v>
      </c>
      <c r="K7" s="1" t="s">
        <v>33</v>
      </c>
      <c r="L7" s="1">
        <v>3</v>
      </c>
      <c r="M7" s="1">
        <v>3189.55</v>
      </c>
      <c r="N7" s="1">
        <v>10</v>
      </c>
      <c r="O7" s="1">
        <v>8611.7800000000007</v>
      </c>
      <c r="P7" s="9">
        <f t="shared" si="0"/>
        <v>9568.6500000000015</v>
      </c>
      <c r="Q7" s="1"/>
      <c r="R7" s="11"/>
      <c r="S7" s="1"/>
      <c r="T7" s="1"/>
      <c r="U7" s="1"/>
      <c r="AB7" s="5">
        <v>10003</v>
      </c>
      <c r="AC7" s="1">
        <v>1860</v>
      </c>
      <c r="AD7" s="2">
        <v>45109</v>
      </c>
      <c r="AE7" s="2">
        <v>45114</v>
      </c>
      <c r="AF7" s="1" t="s">
        <v>15</v>
      </c>
      <c r="AG7" s="1" t="s">
        <v>29</v>
      </c>
      <c r="AH7" s="1" t="s">
        <v>30</v>
      </c>
      <c r="AI7" s="1" t="s">
        <v>25</v>
      </c>
      <c r="AJ7" s="1" t="s">
        <v>31</v>
      </c>
      <c r="AK7" s="1" t="s">
        <v>32</v>
      </c>
      <c r="AL7" s="1" t="s">
        <v>33</v>
      </c>
      <c r="AM7" s="1">
        <v>6</v>
      </c>
      <c r="AN7" s="1">
        <v>3474.34</v>
      </c>
      <c r="AO7" s="1">
        <v>15</v>
      </c>
      <c r="AP7" s="1">
        <v>17719.13</v>
      </c>
      <c r="AQ7" s="9">
        <v>20846.04</v>
      </c>
      <c r="AR7" s="1">
        <v>3126.9059999999999</v>
      </c>
      <c r="AS7" s="11">
        <v>17719.134000000002</v>
      </c>
      <c r="AT7" s="1" t="s">
        <v>168</v>
      </c>
      <c r="AU7" s="1" t="e">
        <v>#NAME?</v>
      </c>
      <c r="AV7" s="1" t="s">
        <v>168</v>
      </c>
    </row>
    <row r="8" spans="1:48" x14ac:dyDescent="0.3">
      <c r="A8" s="5">
        <v>10007</v>
      </c>
      <c r="B8" s="1">
        <v>1700</v>
      </c>
      <c r="C8" s="2">
        <v>45050</v>
      </c>
      <c r="D8" s="2">
        <v>45054</v>
      </c>
      <c r="E8" s="1" t="s">
        <v>34</v>
      </c>
      <c r="F8" s="1" t="s">
        <v>41</v>
      </c>
      <c r="G8" s="1" t="s">
        <v>17</v>
      </c>
      <c r="H8" s="1" t="s">
        <v>44</v>
      </c>
      <c r="I8" s="1" t="s">
        <v>31</v>
      </c>
      <c r="J8" s="1" t="s">
        <v>32</v>
      </c>
      <c r="K8" s="1" t="s">
        <v>45</v>
      </c>
      <c r="L8" s="1">
        <v>5</v>
      </c>
      <c r="M8" s="1">
        <v>3030.42</v>
      </c>
      <c r="N8" s="1">
        <v>10</v>
      </c>
      <c r="O8" s="1">
        <v>13636.89</v>
      </c>
      <c r="P8" s="9">
        <f t="shared" si="0"/>
        <v>15152.1</v>
      </c>
      <c r="Q8" s="1"/>
      <c r="R8" s="11"/>
      <c r="S8" s="1"/>
      <c r="T8" s="1"/>
      <c r="U8" s="1"/>
      <c r="X8" s="3" t="s">
        <v>4</v>
      </c>
      <c r="AB8" s="5">
        <v>10009</v>
      </c>
      <c r="AC8" s="1">
        <v>1614</v>
      </c>
      <c r="AD8" s="2">
        <v>45204</v>
      </c>
      <c r="AE8" s="2">
        <v>45213</v>
      </c>
      <c r="AF8" s="1" t="s">
        <v>15</v>
      </c>
      <c r="AG8" s="1" t="s">
        <v>29</v>
      </c>
      <c r="AH8" s="1" t="s">
        <v>24</v>
      </c>
      <c r="AI8" s="1" t="s">
        <v>25</v>
      </c>
      <c r="AJ8" s="1" t="s">
        <v>31</v>
      </c>
      <c r="AK8" s="1" t="s">
        <v>48</v>
      </c>
      <c r="AL8" s="1" t="s">
        <v>28</v>
      </c>
      <c r="AM8" s="1">
        <v>5</v>
      </c>
      <c r="AN8" s="1">
        <v>1098.04</v>
      </c>
      <c r="AO8" s="1">
        <v>15</v>
      </c>
      <c r="AP8" s="1">
        <v>4666.67</v>
      </c>
      <c r="AQ8" s="9">
        <v>5490.2</v>
      </c>
      <c r="AR8" s="1">
        <v>823.53</v>
      </c>
      <c r="AS8" s="11">
        <v>4666.67</v>
      </c>
      <c r="AT8" s="1" t="s">
        <v>168</v>
      </c>
      <c r="AU8" s="1" t="e">
        <v>#NAME?</v>
      </c>
      <c r="AV8" s="1" t="s">
        <v>169</v>
      </c>
    </row>
    <row r="9" spans="1:48" x14ac:dyDescent="0.3">
      <c r="A9" s="5">
        <v>10008</v>
      </c>
      <c r="B9" s="1">
        <v>1020</v>
      </c>
      <c r="C9" s="2">
        <v>45040</v>
      </c>
      <c r="D9" s="2">
        <v>45041</v>
      </c>
      <c r="E9" s="1" t="s">
        <v>46</v>
      </c>
      <c r="F9" s="1" t="s">
        <v>16</v>
      </c>
      <c r="G9" s="1" t="s">
        <v>24</v>
      </c>
      <c r="H9" s="1" t="s">
        <v>18</v>
      </c>
      <c r="I9" s="1" t="s">
        <v>31</v>
      </c>
      <c r="J9" s="1" t="s">
        <v>32</v>
      </c>
      <c r="K9" s="1" t="s">
        <v>47</v>
      </c>
      <c r="L9" s="1">
        <v>4</v>
      </c>
      <c r="M9" s="1">
        <v>2310.83</v>
      </c>
      <c r="N9" s="1">
        <v>10</v>
      </c>
      <c r="O9" s="1">
        <v>8318.99</v>
      </c>
      <c r="P9" s="9">
        <f t="shared" si="0"/>
        <v>9243.32</v>
      </c>
      <c r="Q9" s="1"/>
      <c r="R9" s="11"/>
      <c r="S9" s="1"/>
      <c r="T9" s="1"/>
      <c r="U9" s="1"/>
      <c r="X9" s="1" t="s">
        <v>15</v>
      </c>
      <c r="AB9" s="5">
        <v>10018</v>
      </c>
      <c r="AC9" s="1">
        <v>1871</v>
      </c>
      <c r="AD9" s="2">
        <v>45045</v>
      </c>
      <c r="AE9" s="2">
        <v>45048</v>
      </c>
      <c r="AF9" s="1" t="s">
        <v>15</v>
      </c>
      <c r="AG9" s="1" t="s">
        <v>29</v>
      </c>
      <c r="AH9" s="1" t="s">
        <v>24</v>
      </c>
      <c r="AI9" s="1" t="s">
        <v>18</v>
      </c>
      <c r="AJ9" s="1" t="s">
        <v>19</v>
      </c>
      <c r="AK9" s="1" t="s">
        <v>55</v>
      </c>
      <c r="AL9" s="1" t="s">
        <v>28</v>
      </c>
      <c r="AM9" s="1">
        <v>1</v>
      </c>
      <c r="AN9" s="1">
        <v>2165.81</v>
      </c>
      <c r="AO9" s="1">
        <v>15</v>
      </c>
      <c r="AP9" s="1">
        <v>1840.94</v>
      </c>
      <c r="AQ9" s="9">
        <v>2165.81</v>
      </c>
      <c r="AR9" s="1">
        <v>324.87149999999997</v>
      </c>
      <c r="AS9" s="11">
        <v>1840.9385</v>
      </c>
      <c r="AT9" s="1" t="s">
        <v>170</v>
      </c>
      <c r="AU9" s="1" t="e">
        <v>#NAME?</v>
      </c>
      <c r="AV9" s="1" t="s">
        <v>170</v>
      </c>
    </row>
    <row r="10" spans="1:48" x14ac:dyDescent="0.3">
      <c r="A10" s="5">
        <v>10009</v>
      </c>
      <c r="B10" s="1">
        <v>1614</v>
      </c>
      <c r="C10" s="2">
        <v>45204</v>
      </c>
      <c r="D10" s="2">
        <v>45213</v>
      </c>
      <c r="E10" s="1" t="s">
        <v>15</v>
      </c>
      <c r="F10" s="1" t="s">
        <v>29</v>
      </c>
      <c r="G10" s="1" t="s">
        <v>24</v>
      </c>
      <c r="H10" s="1" t="s">
        <v>25</v>
      </c>
      <c r="I10" s="1" t="s">
        <v>31</v>
      </c>
      <c r="J10" s="1" t="s">
        <v>48</v>
      </c>
      <c r="K10" s="1" t="s">
        <v>28</v>
      </c>
      <c r="L10" s="1">
        <v>5</v>
      </c>
      <c r="M10" s="1">
        <v>1098.04</v>
      </c>
      <c r="N10" s="1">
        <v>15</v>
      </c>
      <c r="O10" s="1">
        <v>4666.67</v>
      </c>
      <c r="P10" s="9">
        <f t="shared" si="0"/>
        <v>5490.2</v>
      </c>
      <c r="Q10" s="1"/>
      <c r="R10" s="11"/>
      <c r="S10" s="1"/>
      <c r="T10" s="1"/>
      <c r="U10" s="1"/>
      <c r="AB10" s="5">
        <v>10031</v>
      </c>
      <c r="AC10" s="1">
        <v>1276</v>
      </c>
      <c r="AD10" s="2">
        <v>45162</v>
      </c>
      <c r="AE10" s="2">
        <v>45166</v>
      </c>
      <c r="AF10" s="1" t="s">
        <v>15</v>
      </c>
      <c r="AG10" s="1" t="s">
        <v>29</v>
      </c>
      <c r="AH10" s="1" t="s">
        <v>30</v>
      </c>
      <c r="AI10" s="1" t="s">
        <v>42</v>
      </c>
      <c r="AJ10" s="1" t="s">
        <v>57</v>
      </c>
      <c r="AK10" s="1" t="s">
        <v>62</v>
      </c>
      <c r="AL10" s="1" t="s">
        <v>47</v>
      </c>
      <c r="AM10" s="1">
        <v>5</v>
      </c>
      <c r="AN10" s="1">
        <v>2295.65</v>
      </c>
      <c r="AO10" s="1">
        <v>20</v>
      </c>
      <c r="AP10" s="1">
        <v>9182.6</v>
      </c>
      <c r="AQ10" s="9">
        <v>11478.25</v>
      </c>
      <c r="AR10" s="1">
        <v>2295.65</v>
      </c>
      <c r="AS10" s="11">
        <v>9182.6</v>
      </c>
      <c r="AT10" s="1" t="s">
        <v>168</v>
      </c>
      <c r="AU10" s="1" t="e">
        <v>#NAME?</v>
      </c>
      <c r="AV10" s="1" t="s">
        <v>169</v>
      </c>
    </row>
    <row r="11" spans="1:48" x14ac:dyDescent="0.3">
      <c r="A11" s="5">
        <v>10010</v>
      </c>
      <c r="B11" s="1">
        <v>1121</v>
      </c>
      <c r="C11" s="2">
        <v>45139</v>
      </c>
      <c r="D11" s="2">
        <v>45147</v>
      </c>
      <c r="E11" s="1" t="s">
        <v>34</v>
      </c>
      <c r="F11" s="1" t="s">
        <v>38</v>
      </c>
      <c r="G11" s="1" t="s">
        <v>24</v>
      </c>
      <c r="H11" s="1" t="s">
        <v>35</v>
      </c>
      <c r="I11" s="1" t="s">
        <v>49</v>
      </c>
      <c r="J11" s="1" t="s">
        <v>50</v>
      </c>
      <c r="K11" s="1" t="s">
        <v>47</v>
      </c>
      <c r="L11" s="1">
        <v>5</v>
      </c>
      <c r="M11" s="1">
        <v>1780.66</v>
      </c>
      <c r="N11" s="1">
        <v>20</v>
      </c>
      <c r="O11" s="1">
        <v>7122.64</v>
      </c>
      <c r="P11" s="9">
        <f t="shared" si="0"/>
        <v>8903.3000000000011</v>
      </c>
      <c r="Q11" s="1"/>
      <c r="R11" s="11"/>
      <c r="S11" s="1"/>
      <c r="T11" s="1"/>
      <c r="U11" s="1"/>
      <c r="Y11" s="3" t="s">
        <v>7</v>
      </c>
      <c r="AB11" s="5">
        <v>10032</v>
      </c>
      <c r="AC11" s="1">
        <v>1160</v>
      </c>
      <c r="AD11" s="2">
        <v>45150</v>
      </c>
      <c r="AE11" s="2">
        <v>45158</v>
      </c>
      <c r="AF11" s="1" t="s">
        <v>15</v>
      </c>
      <c r="AG11" s="1" t="s">
        <v>41</v>
      </c>
      <c r="AH11" s="1" t="s">
        <v>30</v>
      </c>
      <c r="AI11" s="1" t="s">
        <v>18</v>
      </c>
      <c r="AJ11" s="1" t="s">
        <v>19</v>
      </c>
      <c r="AK11" s="1" t="s">
        <v>43</v>
      </c>
      <c r="AL11" s="1" t="s">
        <v>21</v>
      </c>
      <c r="AM11" s="1">
        <v>4</v>
      </c>
      <c r="AN11" s="1">
        <v>750.74</v>
      </c>
      <c r="AO11" s="1">
        <v>5</v>
      </c>
      <c r="AP11" s="1">
        <v>2852.81</v>
      </c>
      <c r="AQ11" s="9">
        <v>3002.96</v>
      </c>
      <c r="AR11" s="1">
        <v>150.148</v>
      </c>
      <c r="AS11" s="11">
        <v>2852.8119999999999</v>
      </c>
      <c r="AT11" s="1" t="s">
        <v>170</v>
      </c>
      <c r="AU11" s="1" t="e">
        <v>#NAME?</v>
      </c>
      <c r="AV11" s="1" t="s">
        <v>170</v>
      </c>
    </row>
    <row r="12" spans="1:48" x14ac:dyDescent="0.3">
      <c r="A12" s="5">
        <v>10011</v>
      </c>
      <c r="B12" s="1">
        <v>1466</v>
      </c>
      <c r="C12" s="2">
        <v>45098</v>
      </c>
      <c r="D12" s="2">
        <v>45106</v>
      </c>
      <c r="E12" s="1" t="s">
        <v>34</v>
      </c>
      <c r="F12" s="1" t="s">
        <v>38</v>
      </c>
      <c r="G12" s="1" t="s">
        <v>17</v>
      </c>
      <c r="H12" s="1" t="s">
        <v>35</v>
      </c>
      <c r="I12" s="1" t="s">
        <v>49</v>
      </c>
      <c r="J12" s="1" t="s">
        <v>50</v>
      </c>
      <c r="K12" s="1" t="s">
        <v>33</v>
      </c>
      <c r="L12" s="1">
        <v>6</v>
      </c>
      <c r="M12" s="1">
        <v>3205.25</v>
      </c>
      <c r="N12" s="1">
        <v>0</v>
      </c>
      <c r="O12" s="1">
        <v>19231.5</v>
      </c>
      <c r="P12" s="9">
        <f t="shared" si="0"/>
        <v>19231.5</v>
      </c>
      <c r="Q12" s="1"/>
      <c r="R12" s="11"/>
      <c r="S12" s="1"/>
      <c r="T12" s="1"/>
      <c r="U12" s="1"/>
      <c r="Y12" s="1" t="s">
        <v>18</v>
      </c>
      <c r="AB12" s="5">
        <v>10040</v>
      </c>
      <c r="AC12" s="1">
        <v>1474</v>
      </c>
      <c r="AD12" s="2">
        <v>45274</v>
      </c>
      <c r="AE12" s="2">
        <v>45277</v>
      </c>
      <c r="AF12" s="1" t="s">
        <v>15</v>
      </c>
      <c r="AG12" s="1" t="s">
        <v>16</v>
      </c>
      <c r="AH12" s="1" t="s">
        <v>30</v>
      </c>
      <c r="AI12" s="1" t="s">
        <v>35</v>
      </c>
      <c r="AJ12" s="1" t="s">
        <v>26</v>
      </c>
      <c r="AK12" s="1" t="s">
        <v>27</v>
      </c>
      <c r="AL12" s="1" t="s">
        <v>28</v>
      </c>
      <c r="AM12" s="1">
        <v>6</v>
      </c>
      <c r="AN12" s="1">
        <v>3083.25</v>
      </c>
      <c r="AO12" s="1">
        <v>10</v>
      </c>
      <c r="AP12" s="1">
        <v>16649.55</v>
      </c>
      <c r="AQ12" s="9">
        <v>18499.5</v>
      </c>
      <c r="AR12" s="1">
        <v>1849.95</v>
      </c>
      <c r="AS12" s="11">
        <v>16649.55</v>
      </c>
      <c r="AT12" s="1" t="s">
        <v>168</v>
      </c>
      <c r="AU12" s="1" t="e">
        <v>#NAME?</v>
      </c>
      <c r="AV12" s="1" t="s">
        <v>168</v>
      </c>
    </row>
    <row r="13" spans="1:48" x14ac:dyDescent="0.3">
      <c r="A13" s="5">
        <v>10012</v>
      </c>
      <c r="B13" s="1">
        <v>1214</v>
      </c>
      <c r="C13" s="2">
        <v>45214</v>
      </c>
      <c r="D13" s="2">
        <v>45220</v>
      </c>
      <c r="E13" s="1" t="s">
        <v>46</v>
      </c>
      <c r="F13" s="1" t="s">
        <v>23</v>
      </c>
      <c r="G13" s="1" t="s">
        <v>24</v>
      </c>
      <c r="H13" s="1" t="s">
        <v>44</v>
      </c>
      <c r="I13" s="1" t="s">
        <v>49</v>
      </c>
      <c r="J13" s="1" t="s">
        <v>51</v>
      </c>
      <c r="K13" s="1" t="s">
        <v>21</v>
      </c>
      <c r="L13" s="1">
        <v>6</v>
      </c>
      <c r="M13" s="1">
        <v>272.35000000000002</v>
      </c>
      <c r="N13" s="1">
        <v>5</v>
      </c>
      <c r="O13" s="1">
        <v>1552.39</v>
      </c>
      <c r="P13" s="9">
        <f t="shared" si="0"/>
        <v>1634.1000000000001</v>
      </c>
      <c r="Q13" s="1"/>
      <c r="R13" s="11"/>
      <c r="S13" s="1"/>
      <c r="T13" s="1"/>
      <c r="U13" s="1"/>
      <c r="AB13" s="5">
        <v>10042</v>
      </c>
      <c r="AC13" s="1">
        <v>1510</v>
      </c>
      <c r="AD13" s="2">
        <v>45195</v>
      </c>
      <c r="AE13" s="2">
        <v>45204</v>
      </c>
      <c r="AF13" s="1" t="s">
        <v>15</v>
      </c>
      <c r="AG13" s="1" t="s">
        <v>54</v>
      </c>
      <c r="AH13" s="1" t="s">
        <v>24</v>
      </c>
      <c r="AI13" s="1" t="s">
        <v>35</v>
      </c>
      <c r="AJ13" s="1" t="s">
        <v>26</v>
      </c>
      <c r="AK13" s="1" t="s">
        <v>27</v>
      </c>
      <c r="AL13" s="1" t="s">
        <v>33</v>
      </c>
      <c r="AM13" s="1">
        <v>4</v>
      </c>
      <c r="AN13" s="1">
        <v>1211.67</v>
      </c>
      <c r="AO13" s="1">
        <v>20</v>
      </c>
      <c r="AP13" s="1">
        <v>3877.34</v>
      </c>
      <c r="AQ13" s="9">
        <v>4846.68</v>
      </c>
      <c r="AR13" s="1">
        <v>969.33600000000013</v>
      </c>
      <c r="AS13" s="11">
        <v>3877.3440000000001</v>
      </c>
      <c r="AT13" s="1" t="s">
        <v>170</v>
      </c>
      <c r="AU13" s="1" t="e">
        <v>#NAME?</v>
      </c>
      <c r="AV13" s="1" t="s">
        <v>170</v>
      </c>
    </row>
    <row r="14" spans="1:48" x14ac:dyDescent="0.3">
      <c r="A14" s="5">
        <v>10013</v>
      </c>
      <c r="B14" s="1">
        <v>1330</v>
      </c>
      <c r="C14" s="2">
        <v>45100</v>
      </c>
      <c r="D14" s="2">
        <v>45107</v>
      </c>
      <c r="E14" s="1" t="s">
        <v>16</v>
      </c>
      <c r="F14" s="1" t="s">
        <v>23</v>
      </c>
      <c r="G14" s="1" t="s">
        <v>17</v>
      </c>
      <c r="H14" s="1" t="s">
        <v>35</v>
      </c>
      <c r="I14" s="1" t="s">
        <v>19</v>
      </c>
      <c r="J14" s="1" t="s">
        <v>43</v>
      </c>
      <c r="K14" s="1" t="s">
        <v>21</v>
      </c>
      <c r="L14" s="1">
        <v>8</v>
      </c>
      <c r="M14" s="1">
        <v>3160.9</v>
      </c>
      <c r="N14" s="1">
        <v>0</v>
      </c>
      <c r="O14" s="1">
        <v>25287.200000000001</v>
      </c>
      <c r="P14" s="9">
        <f t="shared" si="0"/>
        <v>25287.200000000001</v>
      </c>
      <c r="Q14" s="1"/>
      <c r="R14" s="11"/>
      <c r="S14" s="1"/>
      <c r="T14" s="1"/>
      <c r="U14" s="1"/>
      <c r="AB14" s="5">
        <v>10065</v>
      </c>
      <c r="AC14" s="1">
        <v>1273</v>
      </c>
      <c r="AD14" s="2">
        <v>45054</v>
      </c>
      <c r="AE14" s="2">
        <v>45058</v>
      </c>
      <c r="AF14" s="1" t="s">
        <v>15</v>
      </c>
      <c r="AG14" s="1" t="s">
        <v>38</v>
      </c>
      <c r="AH14" s="1" t="s">
        <v>17</v>
      </c>
      <c r="AI14" s="1" t="s">
        <v>42</v>
      </c>
      <c r="AJ14" s="1" t="s">
        <v>19</v>
      </c>
      <c r="AK14" s="1" t="s">
        <v>43</v>
      </c>
      <c r="AL14" s="1" t="s">
        <v>45</v>
      </c>
      <c r="AM14" s="1">
        <v>2</v>
      </c>
      <c r="AN14" s="1">
        <v>2773.21</v>
      </c>
      <c r="AO14" s="1">
        <v>10</v>
      </c>
      <c r="AP14" s="1">
        <v>4991.78</v>
      </c>
      <c r="AQ14" s="9">
        <v>5546.42</v>
      </c>
      <c r="AR14" s="1">
        <v>554.64200000000005</v>
      </c>
      <c r="AS14" s="11">
        <v>4991.7780000000002</v>
      </c>
      <c r="AT14" s="1" t="s">
        <v>170</v>
      </c>
      <c r="AU14" s="1" t="e">
        <v>#NAME?</v>
      </c>
      <c r="AV14" s="1" t="s">
        <v>170</v>
      </c>
    </row>
    <row r="15" spans="1:48" x14ac:dyDescent="0.3">
      <c r="A15" s="5">
        <v>10014</v>
      </c>
      <c r="B15" s="1">
        <v>1458</v>
      </c>
      <c r="C15" s="2">
        <v>45039</v>
      </c>
      <c r="D15" s="2">
        <v>45045</v>
      </c>
      <c r="E15" s="1" t="s">
        <v>37</v>
      </c>
      <c r="F15" s="1" t="s">
        <v>38</v>
      </c>
      <c r="G15" s="1" t="s">
        <v>30</v>
      </c>
      <c r="H15" s="1" t="s">
        <v>35</v>
      </c>
      <c r="I15" s="1" t="s">
        <v>26</v>
      </c>
      <c r="J15" s="1" t="s">
        <v>36</v>
      </c>
      <c r="K15" s="1" t="s">
        <v>28</v>
      </c>
      <c r="L15" s="1">
        <v>8</v>
      </c>
      <c r="M15" s="1">
        <v>1074.27</v>
      </c>
      <c r="N15" s="1">
        <v>15</v>
      </c>
      <c r="O15" s="1">
        <v>7305.04</v>
      </c>
      <c r="P15" s="9">
        <f t="shared" si="0"/>
        <v>8594.16</v>
      </c>
      <c r="Q15" s="1"/>
      <c r="R15" s="11"/>
      <c r="S15" s="1"/>
      <c r="T15" s="1"/>
      <c r="U15" s="1"/>
      <c r="AB15" s="5">
        <v>10066</v>
      </c>
      <c r="AC15" s="1">
        <v>1387</v>
      </c>
      <c r="AD15" s="2">
        <v>45155</v>
      </c>
      <c r="AE15" s="2">
        <v>45158</v>
      </c>
      <c r="AF15" s="1" t="s">
        <v>15</v>
      </c>
      <c r="AG15" s="1" t="s">
        <v>23</v>
      </c>
      <c r="AH15" s="1" t="s">
        <v>17</v>
      </c>
      <c r="AI15" s="1" t="s">
        <v>35</v>
      </c>
      <c r="AJ15" s="1" t="s">
        <v>57</v>
      </c>
      <c r="AK15" s="1" t="s">
        <v>67</v>
      </c>
      <c r="AL15" s="1" t="s">
        <v>45</v>
      </c>
      <c r="AM15" s="1">
        <v>8</v>
      </c>
      <c r="AN15" s="1">
        <v>3769.71</v>
      </c>
      <c r="AO15" s="1">
        <v>5</v>
      </c>
      <c r="AP15" s="1">
        <v>28649.8</v>
      </c>
      <c r="AQ15" s="9">
        <v>30157.68</v>
      </c>
      <c r="AR15" s="1">
        <v>1507.884</v>
      </c>
      <c r="AS15" s="11">
        <v>28649.796000000002</v>
      </c>
      <c r="AT15" s="1" t="s">
        <v>168</v>
      </c>
      <c r="AU15" s="1" t="e">
        <v>#NAME?</v>
      </c>
      <c r="AV15" s="1" t="s">
        <v>168</v>
      </c>
    </row>
    <row r="16" spans="1:48" x14ac:dyDescent="0.3">
      <c r="A16" s="5">
        <v>10015</v>
      </c>
      <c r="B16" s="1">
        <v>1087</v>
      </c>
      <c r="C16" s="2">
        <v>45048</v>
      </c>
      <c r="D16" s="2">
        <v>45057</v>
      </c>
      <c r="E16" s="1" t="s">
        <v>40</v>
      </c>
      <c r="F16" s="1" t="s">
        <v>23</v>
      </c>
      <c r="G16" s="1" t="s">
        <v>24</v>
      </c>
      <c r="H16" s="1" t="s">
        <v>18</v>
      </c>
      <c r="I16" s="1" t="s">
        <v>52</v>
      </c>
      <c r="J16" s="1" t="s">
        <v>53</v>
      </c>
      <c r="K16" s="1" t="s">
        <v>21</v>
      </c>
      <c r="L16" s="1">
        <v>9</v>
      </c>
      <c r="M16" s="1">
        <v>705.59</v>
      </c>
      <c r="N16" s="1">
        <v>10</v>
      </c>
      <c r="O16" s="1">
        <v>5715.28</v>
      </c>
      <c r="P16" s="9">
        <f t="shared" si="0"/>
        <v>6350.31</v>
      </c>
      <c r="Q16" s="1"/>
      <c r="R16" s="11"/>
      <c r="S16" s="1"/>
      <c r="T16" s="1"/>
      <c r="U16" s="1"/>
      <c r="AB16" s="5">
        <v>10069</v>
      </c>
      <c r="AC16" s="1">
        <v>1013</v>
      </c>
      <c r="AD16" s="2">
        <v>45288</v>
      </c>
      <c r="AE16" s="2">
        <v>45296</v>
      </c>
      <c r="AF16" s="1" t="s">
        <v>15</v>
      </c>
      <c r="AG16" s="1" t="s">
        <v>23</v>
      </c>
      <c r="AH16" s="1" t="s">
        <v>17</v>
      </c>
      <c r="AI16" s="1" t="s">
        <v>44</v>
      </c>
      <c r="AJ16" s="1" t="s">
        <v>57</v>
      </c>
      <c r="AK16" s="1" t="s">
        <v>62</v>
      </c>
      <c r="AL16" s="1" t="s">
        <v>33</v>
      </c>
      <c r="AM16" s="1">
        <v>6</v>
      </c>
      <c r="AN16" s="1">
        <v>1836.98</v>
      </c>
      <c r="AO16" s="1">
        <v>5</v>
      </c>
      <c r="AP16" s="1">
        <v>10470.790000000001</v>
      </c>
      <c r="AQ16" s="9">
        <v>11021.880000000001</v>
      </c>
      <c r="AR16" s="1">
        <v>551.09400000000005</v>
      </c>
      <c r="AS16" s="11">
        <v>10470.786</v>
      </c>
      <c r="AT16" s="1" t="s">
        <v>168</v>
      </c>
      <c r="AU16" s="1" t="e">
        <v>#NAME?</v>
      </c>
      <c r="AV16" s="1" t="s">
        <v>168</v>
      </c>
    </row>
    <row r="17" spans="1:48" x14ac:dyDescent="0.3">
      <c r="A17" s="5">
        <v>10016</v>
      </c>
      <c r="B17" s="1">
        <v>1372</v>
      </c>
      <c r="C17" s="2">
        <v>44958</v>
      </c>
      <c r="D17" s="2">
        <v>44961</v>
      </c>
      <c r="E17" s="1" t="s">
        <v>22</v>
      </c>
      <c r="F17" s="1" t="s">
        <v>29</v>
      </c>
      <c r="G17" s="1" t="s">
        <v>17</v>
      </c>
      <c r="H17" s="1" t="s">
        <v>42</v>
      </c>
      <c r="I17" s="1" t="s">
        <v>31</v>
      </c>
      <c r="J17" s="1" t="s">
        <v>39</v>
      </c>
      <c r="K17" s="1" t="s">
        <v>21</v>
      </c>
      <c r="L17" s="1">
        <v>8</v>
      </c>
      <c r="M17" s="1">
        <v>595.45000000000005</v>
      </c>
      <c r="N17" s="1">
        <v>5</v>
      </c>
      <c r="O17" s="1">
        <v>4525.42</v>
      </c>
      <c r="P17" s="9">
        <f t="shared" si="0"/>
        <v>4763.6000000000004</v>
      </c>
      <c r="Q17" s="1"/>
      <c r="R17" s="11"/>
      <c r="S17" s="1"/>
      <c r="T17" s="1"/>
      <c r="U17" s="1"/>
      <c r="AB17" s="5">
        <v>10071</v>
      </c>
      <c r="AC17" s="1">
        <v>1776</v>
      </c>
      <c r="AD17" s="2">
        <v>45070</v>
      </c>
      <c r="AE17" s="2">
        <v>45078</v>
      </c>
      <c r="AF17" s="1" t="s">
        <v>15</v>
      </c>
      <c r="AG17" s="1" t="s">
        <v>29</v>
      </c>
      <c r="AH17" s="1" t="s">
        <v>17</v>
      </c>
      <c r="AI17" s="1" t="s">
        <v>18</v>
      </c>
      <c r="AJ17" s="1" t="s">
        <v>26</v>
      </c>
      <c r="AK17" s="1" t="s">
        <v>61</v>
      </c>
      <c r="AL17" s="1" t="s">
        <v>47</v>
      </c>
      <c r="AM17" s="1">
        <v>3</v>
      </c>
      <c r="AN17" s="1">
        <v>3854.71</v>
      </c>
      <c r="AO17" s="1">
        <v>5</v>
      </c>
      <c r="AP17" s="1">
        <v>10985.92</v>
      </c>
      <c r="AQ17" s="9">
        <v>11564.130000000001</v>
      </c>
      <c r="AR17" s="1">
        <v>578.20650000000012</v>
      </c>
      <c r="AS17" s="11">
        <v>10985.923500000001</v>
      </c>
      <c r="AT17" s="1" t="s">
        <v>170</v>
      </c>
      <c r="AU17" s="1" t="e">
        <v>#NAME?</v>
      </c>
      <c r="AV17" s="1" t="s">
        <v>170</v>
      </c>
    </row>
    <row r="18" spans="1:48" x14ac:dyDescent="0.3">
      <c r="A18" s="5">
        <v>10017</v>
      </c>
      <c r="B18" s="1">
        <v>1099</v>
      </c>
      <c r="C18" s="2">
        <v>45148</v>
      </c>
      <c r="D18" s="2">
        <v>45151</v>
      </c>
      <c r="E18" s="1" t="s">
        <v>16</v>
      </c>
      <c r="F18" s="1" t="s">
        <v>54</v>
      </c>
      <c r="G18" s="1" t="s">
        <v>17</v>
      </c>
      <c r="H18" s="1" t="s">
        <v>44</v>
      </c>
      <c r="I18" s="1" t="s">
        <v>31</v>
      </c>
      <c r="J18" s="1" t="s">
        <v>39</v>
      </c>
      <c r="K18" s="1" t="s">
        <v>28</v>
      </c>
      <c r="L18" s="1">
        <v>2</v>
      </c>
      <c r="M18" s="1">
        <v>254.91</v>
      </c>
      <c r="N18" s="1">
        <v>15</v>
      </c>
      <c r="O18" s="1">
        <v>433.35</v>
      </c>
      <c r="P18" s="9">
        <f t="shared" si="0"/>
        <v>509.82</v>
      </c>
      <c r="Q18" s="1"/>
      <c r="R18" s="11"/>
      <c r="S18" s="1"/>
      <c r="T18" s="1"/>
      <c r="U18" s="1"/>
      <c r="AB18" s="5">
        <v>10080</v>
      </c>
      <c r="AC18" s="1">
        <v>1427</v>
      </c>
      <c r="AD18" s="2">
        <v>45288</v>
      </c>
      <c r="AE18" s="2">
        <v>45293</v>
      </c>
      <c r="AF18" s="1" t="s">
        <v>15</v>
      </c>
      <c r="AG18" s="1" t="s">
        <v>54</v>
      </c>
      <c r="AH18" s="1" t="s">
        <v>17</v>
      </c>
      <c r="AI18" s="1" t="s">
        <v>25</v>
      </c>
      <c r="AJ18" s="1" t="s">
        <v>52</v>
      </c>
      <c r="AK18" s="1" t="s">
        <v>56</v>
      </c>
      <c r="AL18" s="1" t="s">
        <v>28</v>
      </c>
      <c r="AM18" s="1">
        <v>3</v>
      </c>
      <c r="AN18" s="1">
        <v>262.25</v>
      </c>
      <c r="AO18" s="1">
        <v>10</v>
      </c>
      <c r="AP18" s="1">
        <v>708.07</v>
      </c>
      <c r="AQ18" s="9">
        <v>786.75</v>
      </c>
      <c r="AR18" s="1">
        <v>78.675000000000011</v>
      </c>
      <c r="AS18" s="11">
        <v>708.07500000000005</v>
      </c>
      <c r="AT18" s="1" t="s">
        <v>170</v>
      </c>
      <c r="AU18" s="1" t="e">
        <v>#NAME?</v>
      </c>
      <c r="AV18" s="1" t="s">
        <v>170</v>
      </c>
    </row>
    <row r="19" spans="1:48" x14ac:dyDescent="0.3">
      <c r="A19" s="5">
        <v>10018</v>
      </c>
      <c r="B19" s="1">
        <v>1871</v>
      </c>
      <c r="C19" s="2">
        <v>45045</v>
      </c>
      <c r="D19" s="2">
        <v>45048</v>
      </c>
      <c r="E19" s="1" t="s">
        <v>15</v>
      </c>
      <c r="F19" s="1" t="s">
        <v>29</v>
      </c>
      <c r="G19" s="1" t="s">
        <v>24</v>
      </c>
      <c r="H19" s="1" t="s">
        <v>18</v>
      </c>
      <c r="I19" s="1" t="s">
        <v>19</v>
      </c>
      <c r="J19" s="1" t="s">
        <v>55</v>
      </c>
      <c r="K19" s="1" t="s">
        <v>28</v>
      </c>
      <c r="L19" s="1">
        <v>1</v>
      </c>
      <c r="M19" s="1">
        <v>2165.81</v>
      </c>
      <c r="N19" s="1">
        <v>15</v>
      </c>
      <c r="O19" s="1">
        <v>1840.94</v>
      </c>
      <c r="P19" s="9">
        <f t="shared" si="0"/>
        <v>2165.81</v>
      </c>
      <c r="Q19" s="1"/>
      <c r="R19" s="11"/>
      <c r="S19" s="1"/>
      <c r="T19" s="1"/>
      <c r="U19" s="1"/>
      <c r="AB19" s="5">
        <v>10108</v>
      </c>
      <c r="AC19" s="1">
        <v>1815</v>
      </c>
      <c r="AD19" s="2">
        <v>45037</v>
      </c>
      <c r="AE19" s="2">
        <v>45045</v>
      </c>
      <c r="AF19" s="1" t="s">
        <v>15</v>
      </c>
      <c r="AG19" s="1" t="s">
        <v>29</v>
      </c>
      <c r="AH19" s="1" t="s">
        <v>24</v>
      </c>
      <c r="AI19" s="1" t="s">
        <v>18</v>
      </c>
      <c r="AJ19" s="1" t="s">
        <v>26</v>
      </c>
      <c r="AK19" s="1" t="s">
        <v>36</v>
      </c>
      <c r="AL19" s="1" t="s">
        <v>21</v>
      </c>
      <c r="AM19" s="1">
        <v>2</v>
      </c>
      <c r="AN19" s="1">
        <v>564.30999999999995</v>
      </c>
      <c r="AO19" s="1">
        <v>15</v>
      </c>
      <c r="AP19" s="1">
        <v>959.33</v>
      </c>
      <c r="AQ19" s="9">
        <v>1128.6199999999999</v>
      </c>
      <c r="AR19" s="1">
        <v>169.29299999999998</v>
      </c>
      <c r="AS19" s="11">
        <v>959.32699999999988</v>
      </c>
      <c r="AT19" s="1" t="s">
        <v>170</v>
      </c>
      <c r="AU19" s="1" t="e">
        <v>#NAME?</v>
      </c>
      <c r="AV19" s="1" t="s">
        <v>170</v>
      </c>
    </row>
    <row r="20" spans="1:48" x14ac:dyDescent="0.3">
      <c r="A20" s="5">
        <v>10019</v>
      </c>
      <c r="B20" s="1">
        <v>1663</v>
      </c>
      <c r="C20" s="2">
        <v>44965</v>
      </c>
      <c r="D20" s="2">
        <v>44968</v>
      </c>
      <c r="E20" s="1" t="s">
        <v>34</v>
      </c>
      <c r="F20" s="1" t="s">
        <v>38</v>
      </c>
      <c r="G20" s="1" t="s">
        <v>30</v>
      </c>
      <c r="H20" s="1" t="s">
        <v>42</v>
      </c>
      <c r="I20" s="1" t="s">
        <v>31</v>
      </c>
      <c r="J20" s="1" t="s">
        <v>39</v>
      </c>
      <c r="K20" s="1" t="s">
        <v>33</v>
      </c>
      <c r="L20" s="1">
        <v>2</v>
      </c>
      <c r="M20" s="1">
        <v>990.3</v>
      </c>
      <c r="N20" s="1">
        <v>15</v>
      </c>
      <c r="O20" s="1">
        <v>1683.51</v>
      </c>
      <c r="P20" s="9">
        <f t="shared" si="0"/>
        <v>1980.6</v>
      </c>
      <c r="Q20" s="1"/>
      <c r="R20" s="11"/>
      <c r="S20" s="1"/>
      <c r="T20" s="1"/>
      <c r="U20" s="1"/>
      <c r="AB20" s="5">
        <v>10111</v>
      </c>
      <c r="AC20" s="1">
        <v>1461</v>
      </c>
      <c r="AD20" s="2">
        <v>44950</v>
      </c>
      <c r="AE20" s="2">
        <v>44959</v>
      </c>
      <c r="AF20" s="1" t="s">
        <v>15</v>
      </c>
      <c r="AG20" s="1" t="s">
        <v>54</v>
      </c>
      <c r="AH20" s="1" t="s">
        <v>30</v>
      </c>
      <c r="AI20" s="1" t="s">
        <v>35</v>
      </c>
      <c r="AJ20" s="1" t="s">
        <v>49</v>
      </c>
      <c r="AK20" s="1" t="s">
        <v>68</v>
      </c>
      <c r="AL20" s="1" t="s">
        <v>33</v>
      </c>
      <c r="AM20" s="1">
        <v>1</v>
      </c>
      <c r="AN20" s="1">
        <v>1820.02</v>
      </c>
      <c r="AO20" s="1">
        <v>10</v>
      </c>
      <c r="AP20" s="1">
        <v>1638.02</v>
      </c>
      <c r="AQ20" s="9">
        <v>1820.02</v>
      </c>
      <c r="AR20" s="1">
        <v>182.00200000000001</v>
      </c>
      <c r="AS20" s="11">
        <v>1638.018</v>
      </c>
      <c r="AT20" s="1" t="s">
        <v>170</v>
      </c>
      <c r="AU20" s="1" t="e">
        <v>#NAME?</v>
      </c>
      <c r="AV20" s="1" t="s">
        <v>170</v>
      </c>
    </row>
    <row r="21" spans="1:48" x14ac:dyDescent="0.3">
      <c r="A21" s="5">
        <v>10020</v>
      </c>
      <c r="B21" s="1">
        <v>1130</v>
      </c>
      <c r="C21" s="2">
        <v>45194</v>
      </c>
      <c r="D21" s="2">
        <v>45203</v>
      </c>
      <c r="E21" s="1" t="s">
        <v>46</v>
      </c>
      <c r="F21" s="1" t="s">
        <v>38</v>
      </c>
      <c r="G21" s="1" t="s">
        <v>17</v>
      </c>
      <c r="H21" s="1" t="s">
        <v>18</v>
      </c>
      <c r="I21" s="1" t="s">
        <v>49</v>
      </c>
      <c r="J21" s="1" t="s">
        <v>51</v>
      </c>
      <c r="K21" s="1" t="s">
        <v>21</v>
      </c>
      <c r="L21" s="1">
        <v>2</v>
      </c>
      <c r="M21" s="1">
        <v>3959.31</v>
      </c>
      <c r="N21" s="1">
        <v>5</v>
      </c>
      <c r="O21" s="1">
        <v>7522.69</v>
      </c>
      <c r="P21" s="9">
        <f t="shared" si="0"/>
        <v>7918.62</v>
      </c>
      <c r="Q21" s="1"/>
      <c r="R21" s="11"/>
      <c r="S21" s="1"/>
      <c r="T21" s="1"/>
      <c r="U21" s="1"/>
      <c r="AB21" s="5">
        <v>10130</v>
      </c>
      <c r="AC21" s="1">
        <v>1156</v>
      </c>
      <c r="AD21" s="2">
        <v>44929</v>
      </c>
      <c r="AE21" s="2">
        <v>44938</v>
      </c>
      <c r="AF21" s="1" t="s">
        <v>15</v>
      </c>
      <c r="AG21" s="1" t="s">
        <v>41</v>
      </c>
      <c r="AH21" s="1" t="s">
        <v>17</v>
      </c>
      <c r="AI21" s="1" t="s">
        <v>42</v>
      </c>
      <c r="AJ21" s="1" t="s">
        <v>57</v>
      </c>
      <c r="AK21" s="1" t="s">
        <v>62</v>
      </c>
      <c r="AL21" s="1" t="s">
        <v>33</v>
      </c>
      <c r="AM21" s="1">
        <v>1</v>
      </c>
      <c r="AN21" s="1">
        <v>2534.4699999999998</v>
      </c>
      <c r="AO21" s="1">
        <v>5</v>
      </c>
      <c r="AP21" s="1">
        <v>2407.75</v>
      </c>
      <c r="AQ21" s="9">
        <v>2534.4699999999998</v>
      </c>
      <c r="AR21" s="1">
        <v>126.7235</v>
      </c>
      <c r="AS21" s="11">
        <v>2407.7464999999997</v>
      </c>
      <c r="AT21" s="1" t="s">
        <v>170</v>
      </c>
      <c r="AU21" s="1" t="e">
        <v>#NAME?</v>
      </c>
      <c r="AV21" s="1" t="s">
        <v>170</v>
      </c>
    </row>
    <row r="22" spans="1:48" x14ac:dyDescent="0.3">
      <c r="A22" s="5">
        <v>10021</v>
      </c>
      <c r="B22" s="1">
        <v>1661</v>
      </c>
      <c r="C22" s="2">
        <v>45159</v>
      </c>
      <c r="D22" s="2">
        <v>45163</v>
      </c>
      <c r="E22" s="1" t="s">
        <v>46</v>
      </c>
      <c r="F22" s="1" t="s">
        <v>29</v>
      </c>
      <c r="G22" s="1" t="s">
        <v>24</v>
      </c>
      <c r="H22" s="1" t="s">
        <v>18</v>
      </c>
      <c r="I22" s="1" t="s">
        <v>52</v>
      </c>
      <c r="J22" s="1" t="s">
        <v>56</v>
      </c>
      <c r="K22" s="1" t="s">
        <v>21</v>
      </c>
      <c r="L22" s="1">
        <v>3</v>
      </c>
      <c r="M22" s="1">
        <v>2361.58</v>
      </c>
      <c r="N22" s="1">
        <v>5</v>
      </c>
      <c r="O22" s="1">
        <v>6730.5</v>
      </c>
      <c r="P22" s="9">
        <f t="shared" si="0"/>
        <v>7084.74</v>
      </c>
      <c r="Q22" s="1"/>
      <c r="R22" s="11"/>
      <c r="S22" s="1"/>
      <c r="T22" s="1"/>
      <c r="U22" s="1"/>
      <c r="AB22" s="5">
        <v>10171</v>
      </c>
      <c r="AC22" s="1">
        <v>1986</v>
      </c>
      <c r="AD22" s="2">
        <v>45227</v>
      </c>
      <c r="AE22" s="2">
        <v>45228</v>
      </c>
      <c r="AF22" s="1" t="s">
        <v>15</v>
      </c>
      <c r="AG22" s="1" t="s">
        <v>41</v>
      </c>
      <c r="AH22" s="1" t="s">
        <v>24</v>
      </c>
      <c r="AI22" s="1" t="s">
        <v>18</v>
      </c>
      <c r="AJ22" s="1" t="s">
        <v>19</v>
      </c>
      <c r="AK22" s="1" t="s">
        <v>43</v>
      </c>
      <c r="AL22" s="1" t="s">
        <v>21</v>
      </c>
      <c r="AM22" s="1">
        <v>8</v>
      </c>
      <c r="AN22" s="1">
        <v>3795.01</v>
      </c>
      <c r="AO22" s="1">
        <v>5</v>
      </c>
      <c r="AP22" s="1">
        <v>28842.080000000002</v>
      </c>
      <c r="AQ22" s="9">
        <v>30360.080000000002</v>
      </c>
      <c r="AR22" s="1">
        <v>1518.0040000000001</v>
      </c>
      <c r="AS22" s="11">
        <v>28842.076000000001</v>
      </c>
      <c r="AT22" s="1" t="s">
        <v>168</v>
      </c>
      <c r="AU22" s="1" t="e">
        <v>#NAME?</v>
      </c>
      <c r="AV22" s="1" t="s">
        <v>168</v>
      </c>
    </row>
    <row r="23" spans="1:48" x14ac:dyDescent="0.3">
      <c r="A23" s="5">
        <v>10022</v>
      </c>
      <c r="B23" s="1">
        <v>1308</v>
      </c>
      <c r="C23" s="2">
        <v>44944</v>
      </c>
      <c r="D23" s="2">
        <v>44951</v>
      </c>
      <c r="E23" s="1" t="s">
        <v>37</v>
      </c>
      <c r="F23" s="1" t="s">
        <v>23</v>
      </c>
      <c r="G23" s="1" t="s">
        <v>30</v>
      </c>
      <c r="H23" s="1" t="s">
        <v>35</v>
      </c>
      <c r="I23" s="1" t="s">
        <v>57</v>
      </c>
      <c r="J23" s="1" t="s">
        <v>58</v>
      </c>
      <c r="K23" s="1" t="s">
        <v>33</v>
      </c>
      <c r="L23" s="1">
        <v>7</v>
      </c>
      <c r="M23" s="1">
        <v>680.86</v>
      </c>
      <c r="N23" s="1">
        <v>20</v>
      </c>
      <c r="O23" s="1">
        <v>3812.82</v>
      </c>
      <c r="P23" s="9">
        <f t="shared" si="0"/>
        <v>4766.0200000000004</v>
      </c>
      <c r="Q23" s="1"/>
      <c r="R23" s="11"/>
      <c r="S23" s="1"/>
      <c r="T23" s="1"/>
      <c r="U23" s="1"/>
      <c r="AB23" s="5">
        <v>10173</v>
      </c>
      <c r="AC23" s="1">
        <v>1960</v>
      </c>
      <c r="AD23" s="2">
        <v>45124</v>
      </c>
      <c r="AE23" s="2">
        <v>45127</v>
      </c>
      <c r="AF23" s="1" t="s">
        <v>15</v>
      </c>
      <c r="AG23" s="1" t="s">
        <v>38</v>
      </c>
      <c r="AH23" s="1" t="s">
        <v>24</v>
      </c>
      <c r="AI23" s="1" t="s">
        <v>42</v>
      </c>
      <c r="AJ23" s="1" t="s">
        <v>31</v>
      </c>
      <c r="AK23" s="1" t="s">
        <v>65</v>
      </c>
      <c r="AL23" s="1" t="s">
        <v>28</v>
      </c>
      <c r="AM23" s="1">
        <v>3</v>
      </c>
      <c r="AN23" s="1">
        <v>1357.77</v>
      </c>
      <c r="AO23" s="1">
        <v>5</v>
      </c>
      <c r="AP23" s="1">
        <v>3869.64</v>
      </c>
      <c r="AQ23" s="9">
        <v>4073.31</v>
      </c>
      <c r="AR23" s="1">
        <v>203.66550000000001</v>
      </c>
      <c r="AS23" s="11">
        <v>3869.6444999999999</v>
      </c>
      <c r="AT23" s="1" t="s">
        <v>170</v>
      </c>
      <c r="AU23" s="1" t="e">
        <v>#NAME?</v>
      </c>
      <c r="AV23" s="1" t="s">
        <v>170</v>
      </c>
    </row>
    <row r="24" spans="1:48" x14ac:dyDescent="0.3">
      <c r="A24" s="5">
        <v>10023</v>
      </c>
      <c r="B24" s="1">
        <v>1769</v>
      </c>
      <c r="C24" s="2">
        <v>45075</v>
      </c>
      <c r="D24" s="2">
        <v>45084</v>
      </c>
      <c r="E24" s="1" t="s">
        <v>16</v>
      </c>
      <c r="F24" s="1" t="s">
        <v>23</v>
      </c>
      <c r="G24" s="1" t="s">
        <v>17</v>
      </c>
      <c r="H24" s="1" t="s">
        <v>42</v>
      </c>
      <c r="I24" s="1" t="s">
        <v>31</v>
      </c>
      <c r="J24" s="1" t="s">
        <v>32</v>
      </c>
      <c r="K24" s="1" t="s">
        <v>45</v>
      </c>
      <c r="L24" s="1">
        <v>2</v>
      </c>
      <c r="M24" s="1">
        <v>2801.74</v>
      </c>
      <c r="N24" s="1">
        <v>20</v>
      </c>
      <c r="O24" s="1">
        <v>4482.78</v>
      </c>
      <c r="P24" s="9">
        <f t="shared" si="0"/>
        <v>5603.48</v>
      </c>
      <c r="Q24" s="1"/>
      <c r="R24" s="11"/>
      <c r="S24" s="1"/>
      <c r="T24" s="1"/>
      <c r="U24" s="1"/>
      <c r="AB24" s="5">
        <v>10180</v>
      </c>
      <c r="AC24" s="1">
        <v>1004</v>
      </c>
      <c r="AD24" s="2">
        <v>45004</v>
      </c>
      <c r="AE24" s="2">
        <v>45006</v>
      </c>
      <c r="AF24" s="1" t="s">
        <v>15</v>
      </c>
      <c r="AG24" s="1" t="s">
        <v>29</v>
      </c>
      <c r="AH24" s="1" t="s">
        <v>17</v>
      </c>
      <c r="AI24" s="1" t="s">
        <v>35</v>
      </c>
      <c r="AJ24" s="1" t="s">
        <v>19</v>
      </c>
      <c r="AK24" s="1" t="s">
        <v>43</v>
      </c>
      <c r="AL24" s="1" t="s">
        <v>45</v>
      </c>
      <c r="AM24" s="1">
        <v>8</v>
      </c>
      <c r="AN24" s="1">
        <v>2211.17</v>
      </c>
      <c r="AO24" s="1">
        <v>10</v>
      </c>
      <c r="AP24" s="1">
        <v>15920.42</v>
      </c>
      <c r="AQ24" s="9">
        <v>17689.36</v>
      </c>
      <c r="AR24" s="1">
        <v>1768.9360000000001</v>
      </c>
      <c r="AS24" s="11">
        <v>15920.424000000001</v>
      </c>
      <c r="AT24" s="1" t="s">
        <v>168</v>
      </c>
      <c r="AU24" s="1" t="e">
        <v>#NAME?</v>
      </c>
      <c r="AV24" s="1" t="s">
        <v>168</v>
      </c>
    </row>
    <row r="25" spans="1:48" x14ac:dyDescent="0.3">
      <c r="A25" s="5">
        <v>10024</v>
      </c>
      <c r="B25" s="1">
        <v>1343</v>
      </c>
      <c r="C25" s="2">
        <v>45075</v>
      </c>
      <c r="D25" s="2">
        <v>45082</v>
      </c>
      <c r="E25" s="1" t="s">
        <v>22</v>
      </c>
      <c r="F25" s="1" t="s">
        <v>41</v>
      </c>
      <c r="G25" s="1" t="s">
        <v>17</v>
      </c>
      <c r="H25" s="1" t="s">
        <v>44</v>
      </c>
      <c r="I25" s="1" t="s">
        <v>49</v>
      </c>
      <c r="J25" s="1" t="s">
        <v>51</v>
      </c>
      <c r="K25" s="1" t="s">
        <v>45</v>
      </c>
      <c r="L25" s="1">
        <v>1</v>
      </c>
      <c r="M25" s="1">
        <v>3606.31</v>
      </c>
      <c r="N25" s="1">
        <v>0</v>
      </c>
      <c r="O25" s="1">
        <v>3606.31</v>
      </c>
      <c r="P25" s="9">
        <f t="shared" si="0"/>
        <v>3606.31</v>
      </c>
      <c r="Q25" s="1"/>
      <c r="R25" s="11"/>
      <c r="S25" s="1"/>
      <c r="T25" s="1"/>
      <c r="U25" s="1"/>
      <c r="AB25" s="5">
        <v>10181</v>
      </c>
      <c r="AC25" s="1">
        <v>1217</v>
      </c>
      <c r="AD25" s="2">
        <v>45050</v>
      </c>
      <c r="AE25" s="2">
        <v>45053</v>
      </c>
      <c r="AF25" s="1" t="s">
        <v>15</v>
      </c>
      <c r="AG25" s="1" t="s">
        <v>23</v>
      </c>
      <c r="AH25" s="1" t="s">
        <v>17</v>
      </c>
      <c r="AI25" s="1" t="s">
        <v>42</v>
      </c>
      <c r="AJ25" s="1" t="s">
        <v>49</v>
      </c>
      <c r="AK25" s="1" t="s">
        <v>50</v>
      </c>
      <c r="AL25" s="1" t="s">
        <v>33</v>
      </c>
      <c r="AM25" s="1">
        <v>5</v>
      </c>
      <c r="AN25" s="1">
        <v>2329.38</v>
      </c>
      <c r="AO25" s="1">
        <v>20</v>
      </c>
      <c r="AP25" s="1">
        <v>9317.52</v>
      </c>
      <c r="AQ25" s="9">
        <v>11646.900000000001</v>
      </c>
      <c r="AR25" s="1">
        <v>2329.3800000000006</v>
      </c>
      <c r="AS25" s="11">
        <v>9317.52</v>
      </c>
      <c r="AT25" s="1" t="s">
        <v>168</v>
      </c>
      <c r="AU25" s="1" t="e">
        <v>#NAME?</v>
      </c>
      <c r="AV25" s="1" t="s">
        <v>169</v>
      </c>
    </row>
    <row r="26" spans="1:48" x14ac:dyDescent="0.3">
      <c r="A26" s="5">
        <v>10025</v>
      </c>
      <c r="B26" s="1">
        <v>1491</v>
      </c>
      <c r="C26" s="2">
        <v>45052</v>
      </c>
      <c r="D26" s="2">
        <v>45061</v>
      </c>
      <c r="E26" s="1" t="s">
        <v>37</v>
      </c>
      <c r="F26" s="1" t="s">
        <v>38</v>
      </c>
      <c r="G26" s="1" t="s">
        <v>30</v>
      </c>
      <c r="H26" s="1" t="s">
        <v>44</v>
      </c>
      <c r="I26" s="1" t="s">
        <v>57</v>
      </c>
      <c r="J26" s="1" t="s">
        <v>59</v>
      </c>
      <c r="K26" s="1" t="s">
        <v>45</v>
      </c>
      <c r="L26" s="1">
        <v>6</v>
      </c>
      <c r="M26" s="1">
        <v>3018.94</v>
      </c>
      <c r="N26" s="1">
        <v>5</v>
      </c>
      <c r="O26" s="1">
        <v>17207.96</v>
      </c>
      <c r="P26" s="9">
        <f t="shared" si="0"/>
        <v>18113.64</v>
      </c>
      <c r="Q26" s="1"/>
      <c r="R26" s="11"/>
      <c r="S26" s="1"/>
      <c r="T26" s="1"/>
      <c r="U26" s="1"/>
      <c r="AB26" s="5">
        <v>10183</v>
      </c>
      <c r="AC26" s="1">
        <v>1766</v>
      </c>
      <c r="AD26" s="2">
        <v>45285</v>
      </c>
      <c r="AE26" s="2">
        <v>45294</v>
      </c>
      <c r="AF26" s="1" t="s">
        <v>15</v>
      </c>
      <c r="AG26" s="1" t="s">
        <v>23</v>
      </c>
      <c r="AH26" s="1" t="s">
        <v>30</v>
      </c>
      <c r="AI26" s="1" t="s">
        <v>18</v>
      </c>
      <c r="AJ26" s="1" t="s">
        <v>31</v>
      </c>
      <c r="AK26" s="1" t="s">
        <v>39</v>
      </c>
      <c r="AL26" s="1" t="s">
        <v>47</v>
      </c>
      <c r="AM26" s="1">
        <v>7</v>
      </c>
      <c r="AN26" s="1">
        <v>658.07</v>
      </c>
      <c r="AO26" s="1">
        <v>20</v>
      </c>
      <c r="AP26" s="1">
        <v>3685.19</v>
      </c>
      <c r="AQ26" s="9">
        <v>4606.4900000000007</v>
      </c>
      <c r="AR26" s="1">
        <v>921.29800000000023</v>
      </c>
      <c r="AS26" s="11">
        <v>3685.1920000000005</v>
      </c>
      <c r="AT26" s="1" t="s">
        <v>168</v>
      </c>
      <c r="AU26" s="1" t="e">
        <v>#NAME?</v>
      </c>
      <c r="AV26" s="1" t="s">
        <v>168</v>
      </c>
    </row>
    <row r="27" spans="1:48" x14ac:dyDescent="0.3">
      <c r="A27" s="5">
        <v>10026</v>
      </c>
      <c r="B27" s="1">
        <v>1413</v>
      </c>
      <c r="C27" s="2">
        <v>45228</v>
      </c>
      <c r="D27" s="2">
        <v>45231</v>
      </c>
      <c r="E27" s="1" t="s">
        <v>34</v>
      </c>
      <c r="F27" s="1" t="s">
        <v>16</v>
      </c>
      <c r="G27" s="1" t="s">
        <v>30</v>
      </c>
      <c r="H27" s="1" t="s">
        <v>42</v>
      </c>
      <c r="I27" s="1" t="s">
        <v>52</v>
      </c>
      <c r="J27" s="1" t="s">
        <v>60</v>
      </c>
      <c r="K27" s="1" t="s">
        <v>33</v>
      </c>
      <c r="L27" s="1">
        <v>9</v>
      </c>
      <c r="M27" s="1">
        <v>444.29</v>
      </c>
      <c r="N27" s="1">
        <v>5</v>
      </c>
      <c r="O27" s="1">
        <v>3798.68</v>
      </c>
      <c r="P27" s="9">
        <f t="shared" si="0"/>
        <v>3998.61</v>
      </c>
      <c r="Q27" s="1"/>
      <c r="R27" s="11"/>
      <c r="S27" s="1"/>
      <c r="T27" s="1"/>
      <c r="U27" s="1"/>
      <c r="AB27" s="5">
        <v>10192</v>
      </c>
      <c r="AC27" s="1">
        <v>1891</v>
      </c>
      <c r="AD27" s="2">
        <v>45039</v>
      </c>
      <c r="AE27" s="2">
        <v>45042</v>
      </c>
      <c r="AF27" s="1" t="s">
        <v>15</v>
      </c>
      <c r="AG27" s="1" t="s">
        <v>29</v>
      </c>
      <c r="AH27" s="1" t="s">
        <v>30</v>
      </c>
      <c r="AI27" s="1" t="s">
        <v>35</v>
      </c>
      <c r="AJ27" s="1" t="s">
        <v>52</v>
      </c>
      <c r="AK27" s="1" t="s">
        <v>60</v>
      </c>
      <c r="AL27" s="1" t="s">
        <v>21</v>
      </c>
      <c r="AM27" s="1">
        <v>2</v>
      </c>
      <c r="AN27" s="1">
        <v>487.23</v>
      </c>
      <c r="AO27" s="1">
        <v>15</v>
      </c>
      <c r="AP27" s="1">
        <v>828.29</v>
      </c>
      <c r="AQ27" s="9">
        <v>974.46</v>
      </c>
      <c r="AR27" s="1">
        <v>146.16900000000001</v>
      </c>
      <c r="AS27" s="11">
        <v>828.29100000000005</v>
      </c>
      <c r="AT27" s="1" t="s">
        <v>170</v>
      </c>
      <c r="AU27" s="1" t="e">
        <v>#NAME?</v>
      </c>
      <c r="AV27" s="1" t="s">
        <v>170</v>
      </c>
    </row>
    <row r="28" spans="1:48" x14ac:dyDescent="0.3">
      <c r="A28" s="5">
        <v>10027</v>
      </c>
      <c r="B28" s="1">
        <v>1805</v>
      </c>
      <c r="C28" s="2">
        <v>45286</v>
      </c>
      <c r="D28" s="2">
        <v>45290</v>
      </c>
      <c r="E28" s="1" t="s">
        <v>37</v>
      </c>
      <c r="F28" s="1" t="s">
        <v>41</v>
      </c>
      <c r="G28" s="1" t="s">
        <v>24</v>
      </c>
      <c r="H28" s="1" t="s">
        <v>35</v>
      </c>
      <c r="I28" s="1" t="s">
        <v>57</v>
      </c>
      <c r="J28" s="1" t="s">
        <v>58</v>
      </c>
      <c r="K28" s="1" t="s">
        <v>21</v>
      </c>
      <c r="L28" s="1">
        <v>3</v>
      </c>
      <c r="M28" s="1">
        <v>3599.15</v>
      </c>
      <c r="N28" s="1">
        <v>5</v>
      </c>
      <c r="O28" s="1">
        <v>10257.58</v>
      </c>
      <c r="P28" s="9">
        <f t="shared" si="0"/>
        <v>10797.45</v>
      </c>
      <c r="Q28" s="1"/>
      <c r="R28" s="11"/>
      <c r="S28" s="1"/>
      <c r="T28" s="1"/>
      <c r="U28" s="1"/>
      <c r="AB28" s="5">
        <v>10200</v>
      </c>
      <c r="AC28" s="1">
        <v>1095</v>
      </c>
      <c r="AD28" s="2">
        <v>45171</v>
      </c>
      <c r="AE28" s="2">
        <v>45176</v>
      </c>
      <c r="AF28" s="1" t="s">
        <v>15</v>
      </c>
      <c r="AG28" s="1" t="s">
        <v>29</v>
      </c>
      <c r="AH28" s="1" t="s">
        <v>30</v>
      </c>
      <c r="AI28" s="1" t="s">
        <v>44</v>
      </c>
      <c r="AJ28" s="1" t="s">
        <v>19</v>
      </c>
      <c r="AK28" s="1" t="s">
        <v>66</v>
      </c>
      <c r="AL28" s="1" t="s">
        <v>33</v>
      </c>
      <c r="AM28" s="1">
        <v>3</v>
      </c>
      <c r="AN28" s="1">
        <v>2701.77</v>
      </c>
      <c r="AO28" s="1">
        <v>15</v>
      </c>
      <c r="AP28" s="1">
        <v>6889.51</v>
      </c>
      <c r="AQ28" s="9">
        <v>8105.3099999999995</v>
      </c>
      <c r="AR28" s="1">
        <v>1215.7964999999999</v>
      </c>
      <c r="AS28" s="11">
        <v>6889.5134999999991</v>
      </c>
      <c r="AT28" s="1" t="s">
        <v>170</v>
      </c>
      <c r="AU28" s="1" t="e">
        <v>#NAME?</v>
      </c>
      <c r="AV28" s="1" t="s">
        <v>170</v>
      </c>
    </row>
    <row r="29" spans="1:48" x14ac:dyDescent="0.3">
      <c r="A29" s="5">
        <v>10028</v>
      </c>
      <c r="B29" s="1">
        <v>1385</v>
      </c>
      <c r="C29" s="2">
        <v>45164</v>
      </c>
      <c r="D29" s="2">
        <v>45172</v>
      </c>
      <c r="E29" s="1" t="s">
        <v>40</v>
      </c>
      <c r="F29" s="1" t="s">
        <v>23</v>
      </c>
      <c r="G29" s="1" t="s">
        <v>24</v>
      </c>
      <c r="H29" s="1" t="s">
        <v>25</v>
      </c>
      <c r="I29" s="1" t="s">
        <v>49</v>
      </c>
      <c r="J29" s="1" t="s">
        <v>51</v>
      </c>
      <c r="K29" s="1" t="s">
        <v>33</v>
      </c>
      <c r="L29" s="1">
        <v>6</v>
      </c>
      <c r="M29" s="1">
        <v>3206.63</v>
      </c>
      <c r="N29" s="1">
        <v>20</v>
      </c>
      <c r="O29" s="1">
        <v>15391.82</v>
      </c>
      <c r="P29" s="9">
        <f t="shared" si="0"/>
        <v>19239.78</v>
      </c>
      <c r="Q29" s="1"/>
      <c r="R29" s="11"/>
      <c r="S29" s="1"/>
      <c r="T29" s="1"/>
      <c r="U29" s="1"/>
      <c r="AB29" s="5">
        <v>10201</v>
      </c>
      <c r="AC29" s="1">
        <v>1899</v>
      </c>
      <c r="AD29" s="2">
        <v>44961</v>
      </c>
      <c r="AE29" s="2">
        <v>44966</v>
      </c>
      <c r="AF29" s="1" t="s">
        <v>15</v>
      </c>
      <c r="AG29" s="1" t="s">
        <v>29</v>
      </c>
      <c r="AH29" s="1" t="s">
        <v>30</v>
      </c>
      <c r="AI29" s="1" t="s">
        <v>42</v>
      </c>
      <c r="AJ29" s="1" t="s">
        <v>57</v>
      </c>
      <c r="AK29" s="1" t="s">
        <v>59</v>
      </c>
      <c r="AL29" s="1" t="s">
        <v>28</v>
      </c>
      <c r="AM29" s="1">
        <v>5</v>
      </c>
      <c r="AN29" s="1">
        <v>3501.94</v>
      </c>
      <c r="AO29" s="1">
        <v>20</v>
      </c>
      <c r="AP29" s="1">
        <v>14007.76</v>
      </c>
      <c r="AQ29" s="9">
        <v>17509.7</v>
      </c>
      <c r="AR29" s="1">
        <v>3501.9400000000005</v>
      </c>
      <c r="AS29" s="11">
        <v>14007.76</v>
      </c>
      <c r="AT29" s="1" t="s">
        <v>168</v>
      </c>
      <c r="AU29" s="1" t="e">
        <v>#NAME?</v>
      </c>
      <c r="AV29" s="1" t="s">
        <v>169</v>
      </c>
    </row>
    <row r="30" spans="1:48" x14ac:dyDescent="0.3">
      <c r="A30" s="5">
        <v>10029</v>
      </c>
      <c r="B30" s="1">
        <v>1191</v>
      </c>
      <c r="C30" s="2">
        <v>45061</v>
      </c>
      <c r="D30" s="2">
        <v>45067</v>
      </c>
      <c r="E30" s="1" t="s">
        <v>46</v>
      </c>
      <c r="F30" s="1" t="s">
        <v>29</v>
      </c>
      <c r="G30" s="1" t="s">
        <v>17</v>
      </c>
      <c r="H30" s="1" t="s">
        <v>18</v>
      </c>
      <c r="I30" s="1" t="s">
        <v>26</v>
      </c>
      <c r="J30" s="1" t="s">
        <v>27</v>
      </c>
      <c r="K30" s="1" t="s">
        <v>33</v>
      </c>
      <c r="L30" s="1">
        <v>3</v>
      </c>
      <c r="M30" s="1">
        <v>759.47</v>
      </c>
      <c r="N30" s="1">
        <v>15</v>
      </c>
      <c r="O30" s="1">
        <v>1936.65</v>
      </c>
      <c r="P30" s="9">
        <f t="shared" si="0"/>
        <v>2278.41</v>
      </c>
      <c r="Q30" s="1"/>
      <c r="R30" s="11"/>
      <c r="S30" s="1"/>
      <c r="T30" s="1"/>
      <c r="U30" s="1"/>
      <c r="AB30" s="5">
        <v>10210</v>
      </c>
      <c r="AC30" s="1">
        <v>1035</v>
      </c>
      <c r="AD30" s="2">
        <v>45282</v>
      </c>
      <c r="AE30" s="2">
        <v>45284</v>
      </c>
      <c r="AF30" s="1" t="s">
        <v>15</v>
      </c>
      <c r="AG30" s="1" t="s">
        <v>54</v>
      </c>
      <c r="AH30" s="1" t="s">
        <v>30</v>
      </c>
      <c r="AI30" s="1" t="s">
        <v>18</v>
      </c>
      <c r="AJ30" s="1" t="s">
        <v>19</v>
      </c>
      <c r="AK30" s="1" t="s">
        <v>20</v>
      </c>
      <c r="AL30" s="1" t="s">
        <v>45</v>
      </c>
      <c r="AM30" s="1">
        <v>8</v>
      </c>
      <c r="AN30" s="1">
        <v>3656.59</v>
      </c>
      <c r="AO30" s="1">
        <v>15</v>
      </c>
      <c r="AP30" s="1">
        <v>24864.81</v>
      </c>
      <c r="AQ30" s="9">
        <v>29252.720000000001</v>
      </c>
      <c r="AR30" s="1">
        <v>4387.9080000000004</v>
      </c>
      <c r="AS30" s="11">
        <v>24864.812000000002</v>
      </c>
      <c r="AT30" s="1" t="s">
        <v>168</v>
      </c>
      <c r="AU30" s="1" t="e">
        <v>#NAME?</v>
      </c>
      <c r="AV30" s="1" t="s">
        <v>168</v>
      </c>
    </row>
    <row r="31" spans="1:48" x14ac:dyDescent="0.3">
      <c r="A31" s="5">
        <v>10030</v>
      </c>
      <c r="B31" s="1">
        <v>1955</v>
      </c>
      <c r="C31" s="2">
        <v>45077</v>
      </c>
      <c r="D31" s="2">
        <v>45082</v>
      </c>
      <c r="E31" s="1" t="s">
        <v>46</v>
      </c>
      <c r="F31" s="1" t="s">
        <v>23</v>
      </c>
      <c r="G31" s="1" t="s">
        <v>30</v>
      </c>
      <c r="H31" s="1" t="s">
        <v>35</v>
      </c>
      <c r="I31" s="1" t="s">
        <v>26</v>
      </c>
      <c r="J31" s="1" t="s">
        <v>61</v>
      </c>
      <c r="K31" s="1" t="s">
        <v>45</v>
      </c>
      <c r="L31" s="1">
        <v>1</v>
      </c>
      <c r="M31" s="1">
        <v>349.38</v>
      </c>
      <c r="N31" s="1">
        <v>10</v>
      </c>
      <c r="O31" s="1">
        <v>314.44</v>
      </c>
      <c r="P31" s="9">
        <f t="shared" si="0"/>
        <v>349.38</v>
      </c>
      <c r="Q31" s="1"/>
      <c r="R31" s="11"/>
      <c r="S31" s="1"/>
      <c r="T31" s="1"/>
      <c r="U31" s="1"/>
      <c r="AB31" s="5">
        <v>10213</v>
      </c>
      <c r="AC31" s="1">
        <v>1838</v>
      </c>
      <c r="AD31" s="2">
        <v>45186</v>
      </c>
      <c r="AE31" s="2">
        <v>45193</v>
      </c>
      <c r="AF31" s="1" t="s">
        <v>15</v>
      </c>
      <c r="AG31" s="1" t="s">
        <v>41</v>
      </c>
      <c r="AH31" s="1" t="s">
        <v>24</v>
      </c>
      <c r="AI31" s="1" t="s">
        <v>42</v>
      </c>
      <c r="AJ31" s="1" t="s">
        <v>49</v>
      </c>
      <c r="AK31" s="1" t="s">
        <v>63</v>
      </c>
      <c r="AL31" s="1" t="s">
        <v>21</v>
      </c>
      <c r="AM31" s="1">
        <v>4</v>
      </c>
      <c r="AN31" s="1">
        <v>1484.25</v>
      </c>
      <c r="AO31" s="1">
        <v>20</v>
      </c>
      <c r="AP31" s="1">
        <v>4749.6000000000004</v>
      </c>
      <c r="AQ31" s="9">
        <v>5937</v>
      </c>
      <c r="AR31" s="1">
        <v>1187.4000000000001</v>
      </c>
      <c r="AS31" s="11">
        <v>4749.6000000000004</v>
      </c>
      <c r="AT31" s="1" t="s">
        <v>170</v>
      </c>
      <c r="AU31" s="1" t="e">
        <v>#NAME?</v>
      </c>
      <c r="AV31" s="1" t="s">
        <v>170</v>
      </c>
    </row>
    <row r="32" spans="1:48" x14ac:dyDescent="0.3">
      <c r="A32" s="5">
        <v>10031</v>
      </c>
      <c r="B32" s="1">
        <v>1276</v>
      </c>
      <c r="C32" s="2">
        <v>45162</v>
      </c>
      <c r="D32" s="2">
        <v>45166</v>
      </c>
      <c r="E32" s="1" t="s">
        <v>15</v>
      </c>
      <c r="F32" s="1" t="s">
        <v>29</v>
      </c>
      <c r="G32" s="1" t="s">
        <v>30</v>
      </c>
      <c r="H32" s="1" t="s">
        <v>42</v>
      </c>
      <c r="I32" s="1" t="s">
        <v>57</v>
      </c>
      <c r="J32" s="1" t="s">
        <v>62</v>
      </c>
      <c r="K32" s="1" t="s">
        <v>47</v>
      </c>
      <c r="L32" s="1">
        <v>5</v>
      </c>
      <c r="M32" s="1">
        <v>2295.65</v>
      </c>
      <c r="N32" s="1">
        <v>20</v>
      </c>
      <c r="O32" s="1">
        <v>9182.6</v>
      </c>
      <c r="P32" s="9">
        <f t="shared" si="0"/>
        <v>11478.25</v>
      </c>
      <c r="Q32" s="1"/>
      <c r="R32" s="11"/>
      <c r="S32" s="1"/>
      <c r="T32" s="1"/>
      <c r="U32" s="1"/>
      <c r="AB32" s="5">
        <v>10215</v>
      </c>
      <c r="AC32" s="1">
        <v>1242</v>
      </c>
      <c r="AD32" s="2">
        <v>45157</v>
      </c>
      <c r="AE32" s="2">
        <v>45162</v>
      </c>
      <c r="AF32" s="1" t="s">
        <v>15</v>
      </c>
      <c r="AG32" s="1" t="s">
        <v>16</v>
      </c>
      <c r="AH32" s="1" t="s">
        <v>17</v>
      </c>
      <c r="AI32" s="1" t="s">
        <v>25</v>
      </c>
      <c r="AJ32" s="1" t="s">
        <v>26</v>
      </c>
      <c r="AK32" s="1" t="s">
        <v>27</v>
      </c>
      <c r="AL32" s="1" t="s">
        <v>21</v>
      </c>
      <c r="AM32" s="1">
        <v>5</v>
      </c>
      <c r="AN32" s="1">
        <v>633.42999999999995</v>
      </c>
      <c r="AO32" s="1">
        <v>20</v>
      </c>
      <c r="AP32" s="1">
        <v>2533.7199999999998</v>
      </c>
      <c r="AQ32" s="9">
        <v>3167.1499999999996</v>
      </c>
      <c r="AR32" s="1">
        <v>633.42999999999995</v>
      </c>
      <c r="AS32" s="11">
        <v>2533.7199999999998</v>
      </c>
      <c r="AT32" s="1" t="s">
        <v>168</v>
      </c>
      <c r="AU32" s="1" t="e">
        <v>#NAME?</v>
      </c>
      <c r="AV32" s="1" t="s">
        <v>169</v>
      </c>
    </row>
    <row r="33" spans="1:48" x14ac:dyDescent="0.3">
      <c r="A33" s="5">
        <v>10032</v>
      </c>
      <c r="B33" s="1">
        <v>1160</v>
      </c>
      <c r="C33" s="2">
        <v>45150</v>
      </c>
      <c r="D33" s="2">
        <v>45158</v>
      </c>
      <c r="E33" s="1" t="s">
        <v>15</v>
      </c>
      <c r="F33" s="1" t="s">
        <v>41</v>
      </c>
      <c r="G33" s="1" t="s">
        <v>30</v>
      </c>
      <c r="H33" s="1" t="s">
        <v>18</v>
      </c>
      <c r="I33" s="1" t="s">
        <v>19</v>
      </c>
      <c r="J33" s="1" t="s">
        <v>43</v>
      </c>
      <c r="K33" s="1" t="s">
        <v>21</v>
      </c>
      <c r="L33" s="1">
        <v>4</v>
      </c>
      <c r="M33" s="1">
        <v>750.74</v>
      </c>
      <c r="N33" s="1">
        <v>5</v>
      </c>
      <c r="O33" s="1">
        <v>2852.81</v>
      </c>
      <c r="P33" s="9">
        <f t="shared" si="0"/>
        <v>3002.96</v>
      </c>
      <c r="Q33" s="1"/>
      <c r="R33" s="11"/>
      <c r="S33" s="1"/>
      <c r="T33" s="1"/>
      <c r="U33" s="1"/>
      <c r="AB33" s="5">
        <v>10228</v>
      </c>
      <c r="AC33" s="1">
        <v>1339</v>
      </c>
      <c r="AD33" s="2">
        <v>44983</v>
      </c>
      <c r="AE33" s="2">
        <v>44990</v>
      </c>
      <c r="AF33" s="1" t="s">
        <v>15</v>
      </c>
      <c r="AG33" s="1" t="s">
        <v>54</v>
      </c>
      <c r="AH33" s="1" t="s">
        <v>17</v>
      </c>
      <c r="AI33" s="1" t="s">
        <v>35</v>
      </c>
      <c r="AJ33" s="1" t="s">
        <v>57</v>
      </c>
      <c r="AK33" s="1" t="s">
        <v>62</v>
      </c>
      <c r="AL33" s="1" t="s">
        <v>21</v>
      </c>
      <c r="AM33" s="1">
        <v>8</v>
      </c>
      <c r="AN33" s="1">
        <v>2645.2</v>
      </c>
      <c r="AO33" s="1">
        <v>20</v>
      </c>
      <c r="AP33" s="1">
        <v>16929.28</v>
      </c>
      <c r="AQ33" s="9">
        <v>21161.599999999999</v>
      </c>
      <c r="AR33" s="1">
        <v>4232.32</v>
      </c>
      <c r="AS33" s="11">
        <v>16929.28</v>
      </c>
      <c r="AT33" s="1" t="s">
        <v>168</v>
      </c>
      <c r="AU33" s="1" t="e">
        <v>#NAME?</v>
      </c>
      <c r="AV33" s="1" t="s">
        <v>168</v>
      </c>
    </row>
    <row r="34" spans="1:48" x14ac:dyDescent="0.3">
      <c r="A34" s="5">
        <v>10033</v>
      </c>
      <c r="B34" s="1">
        <v>1459</v>
      </c>
      <c r="C34" s="2">
        <v>45129</v>
      </c>
      <c r="D34" s="2">
        <v>45130</v>
      </c>
      <c r="E34" s="1" t="s">
        <v>22</v>
      </c>
      <c r="F34" s="1" t="s">
        <v>38</v>
      </c>
      <c r="G34" s="1" t="s">
        <v>17</v>
      </c>
      <c r="H34" s="1" t="s">
        <v>44</v>
      </c>
      <c r="I34" s="1" t="s">
        <v>57</v>
      </c>
      <c r="J34" s="1" t="s">
        <v>59</v>
      </c>
      <c r="K34" s="1" t="s">
        <v>45</v>
      </c>
      <c r="L34" s="1">
        <v>7</v>
      </c>
      <c r="M34" s="1">
        <v>3363.18</v>
      </c>
      <c r="N34" s="1">
        <v>20</v>
      </c>
      <c r="O34" s="1">
        <v>18833.810000000001</v>
      </c>
      <c r="P34" s="9">
        <f t="shared" si="0"/>
        <v>23542.26</v>
      </c>
      <c r="Q34" s="1"/>
      <c r="R34" s="11"/>
      <c r="S34" s="1"/>
      <c r="T34" s="1"/>
      <c r="U34" s="1"/>
      <c r="AB34" s="5">
        <v>10242</v>
      </c>
      <c r="AC34" s="1">
        <v>1957</v>
      </c>
      <c r="AD34" s="2">
        <v>45262</v>
      </c>
      <c r="AE34" s="2">
        <v>45263</v>
      </c>
      <c r="AF34" s="1" t="s">
        <v>15</v>
      </c>
      <c r="AG34" s="1" t="s">
        <v>29</v>
      </c>
      <c r="AH34" s="1" t="s">
        <v>24</v>
      </c>
      <c r="AI34" s="1" t="s">
        <v>44</v>
      </c>
      <c r="AJ34" s="1" t="s">
        <v>52</v>
      </c>
      <c r="AK34" s="1" t="s">
        <v>64</v>
      </c>
      <c r="AL34" s="1" t="s">
        <v>47</v>
      </c>
      <c r="AM34" s="1">
        <v>9</v>
      </c>
      <c r="AN34" s="1">
        <v>2092.7800000000002</v>
      </c>
      <c r="AO34" s="1">
        <v>20</v>
      </c>
      <c r="AP34" s="1">
        <v>15068.02</v>
      </c>
      <c r="AQ34" s="9">
        <v>18835.02</v>
      </c>
      <c r="AR34" s="1">
        <v>3767.0040000000004</v>
      </c>
      <c r="AS34" s="11">
        <v>15068.016</v>
      </c>
      <c r="AT34" s="1" t="s">
        <v>168</v>
      </c>
      <c r="AU34" s="1" t="e">
        <v>#NAME?</v>
      </c>
      <c r="AV34" s="1" t="s">
        <v>168</v>
      </c>
    </row>
    <row r="35" spans="1:48" x14ac:dyDescent="0.3">
      <c r="A35" s="5">
        <v>10034</v>
      </c>
      <c r="B35" s="1">
        <v>1313</v>
      </c>
      <c r="C35" s="2">
        <v>45182</v>
      </c>
      <c r="D35" s="2">
        <v>45191</v>
      </c>
      <c r="E35" s="1" t="s">
        <v>34</v>
      </c>
      <c r="F35" s="1" t="s">
        <v>23</v>
      </c>
      <c r="G35" s="1" t="s">
        <v>30</v>
      </c>
      <c r="H35" s="1" t="s">
        <v>25</v>
      </c>
      <c r="I35" s="1" t="s">
        <v>31</v>
      </c>
      <c r="J35" s="1" t="s">
        <v>48</v>
      </c>
      <c r="K35" s="1" t="s">
        <v>47</v>
      </c>
      <c r="L35" s="1">
        <v>6</v>
      </c>
      <c r="M35" s="1">
        <v>1529.59</v>
      </c>
      <c r="N35" s="1">
        <v>0</v>
      </c>
      <c r="O35" s="1">
        <v>9177.5400000000009</v>
      </c>
      <c r="P35" s="9">
        <f t="shared" si="0"/>
        <v>9177.5399999999991</v>
      </c>
      <c r="Q35" s="1"/>
      <c r="R35" s="11"/>
      <c r="S35" s="1"/>
      <c r="T35" s="1"/>
      <c r="U35" s="1"/>
      <c r="AB35" s="5">
        <v>10245</v>
      </c>
      <c r="AC35" s="1">
        <v>1972</v>
      </c>
      <c r="AD35" s="2">
        <v>45143</v>
      </c>
      <c r="AE35" s="2">
        <v>45148</v>
      </c>
      <c r="AF35" s="1" t="s">
        <v>15</v>
      </c>
      <c r="AG35" s="1" t="s">
        <v>16</v>
      </c>
      <c r="AH35" s="1" t="s">
        <v>30</v>
      </c>
      <c r="AI35" s="1" t="s">
        <v>42</v>
      </c>
      <c r="AJ35" s="1" t="s">
        <v>49</v>
      </c>
      <c r="AK35" s="1" t="s">
        <v>51</v>
      </c>
      <c r="AL35" s="1" t="s">
        <v>47</v>
      </c>
      <c r="AM35" s="1">
        <v>8</v>
      </c>
      <c r="AN35" s="1">
        <v>1504.45</v>
      </c>
      <c r="AO35" s="1">
        <v>20</v>
      </c>
      <c r="AP35" s="1">
        <v>9628.48</v>
      </c>
      <c r="AQ35" s="9">
        <v>12035.6</v>
      </c>
      <c r="AR35" s="1">
        <v>2407.1200000000003</v>
      </c>
      <c r="AS35" s="11">
        <v>9628.48</v>
      </c>
      <c r="AT35" s="1" t="s">
        <v>168</v>
      </c>
      <c r="AU35" s="1" t="e">
        <v>#NAME?</v>
      </c>
      <c r="AV35" s="1" t="s">
        <v>168</v>
      </c>
    </row>
    <row r="36" spans="1:48" x14ac:dyDescent="0.3">
      <c r="A36" s="5">
        <v>10035</v>
      </c>
      <c r="B36" s="1">
        <v>1021</v>
      </c>
      <c r="C36" s="2">
        <v>45012</v>
      </c>
      <c r="D36" s="2">
        <v>45013</v>
      </c>
      <c r="E36" s="1" t="s">
        <v>40</v>
      </c>
      <c r="F36" s="1" t="s">
        <v>29</v>
      </c>
      <c r="G36" s="1" t="s">
        <v>30</v>
      </c>
      <c r="H36" s="1" t="s">
        <v>44</v>
      </c>
      <c r="I36" s="1" t="s">
        <v>31</v>
      </c>
      <c r="J36" s="1" t="s">
        <v>48</v>
      </c>
      <c r="K36" s="1" t="s">
        <v>47</v>
      </c>
      <c r="L36" s="1">
        <v>7</v>
      </c>
      <c r="M36" s="1">
        <v>3664.64</v>
      </c>
      <c r="N36" s="1">
        <v>5</v>
      </c>
      <c r="O36" s="1">
        <v>24369.86</v>
      </c>
      <c r="P36" s="9">
        <f t="shared" si="0"/>
        <v>25652.48</v>
      </c>
      <c r="Q36" s="1"/>
      <c r="R36" s="11"/>
      <c r="S36" s="1"/>
      <c r="T36" s="1"/>
      <c r="U36" s="1"/>
      <c r="AB36" s="5">
        <v>10247</v>
      </c>
      <c r="AC36" s="1">
        <v>1258</v>
      </c>
      <c r="AD36" s="2">
        <v>44996</v>
      </c>
      <c r="AE36" s="2">
        <v>44998</v>
      </c>
      <c r="AF36" s="1" t="s">
        <v>15</v>
      </c>
      <c r="AG36" s="1" t="s">
        <v>54</v>
      </c>
      <c r="AH36" s="1" t="s">
        <v>30</v>
      </c>
      <c r="AI36" s="1" t="s">
        <v>35</v>
      </c>
      <c r="AJ36" s="1" t="s">
        <v>52</v>
      </c>
      <c r="AK36" s="1" t="s">
        <v>64</v>
      </c>
      <c r="AL36" s="1" t="s">
        <v>47</v>
      </c>
      <c r="AM36" s="1">
        <v>7</v>
      </c>
      <c r="AN36" s="1">
        <v>2102.27</v>
      </c>
      <c r="AO36" s="1">
        <v>20</v>
      </c>
      <c r="AP36" s="1">
        <v>11772.71</v>
      </c>
      <c r="AQ36" s="9">
        <v>14715.89</v>
      </c>
      <c r="AR36" s="1">
        <v>2943.1779999999999</v>
      </c>
      <c r="AS36" s="11">
        <v>11772.712</v>
      </c>
      <c r="AT36" s="1" t="s">
        <v>168</v>
      </c>
      <c r="AU36" s="1" t="e">
        <v>#NAME?</v>
      </c>
      <c r="AV36" s="1" t="s">
        <v>168</v>
      </c>
    </row>
    <row r="37" spans="1:48" x14ac:dyDescent="0.3">
      <c r="A37" s="5">
        <v>10036</v>
      </c>
      <c r="B37" s="1">
        <v>1252</v>
      </c>
      <c r="C37" s="2">
        <v>45076</v>
      </c>
      <c r="D37" s="2">
        <v>45084</v>
      </c>
      <c r="E37" s="1" t="s">
        <v>16</v>
      </c>
      <c r="F37" s="1" t="s">
        <v>38</v>
      </c>
      <c r="G37" s="1" t="s">
        <v>17</v>
      </c>
      <c r="H37" s="1" t="s">
        <v>42</v>
      </c>
      <c r="I37" s="1" t="s">
        <v>26</v>
      </c>
      <c r="J37" s="1" t="s">
        <v>27</v>
      </c>
      <c r="K37" s="1" t="s">
        <v>28</v>
      </c>
      <c r="L37" s="1">
        <v>5</v>
      </c>
      <c r="M37" s="1">
        <v>2327.9</v>
      </c>
      <c r="N37" s="1">
        <v>0</v>
      </c>
      <c r="O37" s="1">
        <v>11639.5</v>
      </c>
      <c r="P37" s="9">
        <f t="shared" si="0"/>
        <v>11639.5</v>
      </c>
      <c r="Q37" s="1"/>
      <c r="R37" s="11"/>
      <c r="S37" s="1"/>
      <c r="T37" s="1"/>
      <c r="U37" s="1"/>
      <c r="AB37" s="5">
        <v>10261</v>
      </c>
      <c r="AC37" s="1">
        <v>1826</v>
      </c>
      <c r="AD37" s="2">
        <v>44933</v>
      </c>
      <c r="AE37" s="2">
        <v>44936</v>
      </c>
      <c r="AF37" s="1" t="s">
        <v>15</v>
      </c>
      <c r="AG37" s="1" t="s">
        <v>54</v>
      </c>
      <c r="AH37" s="1" t="s">
        <v>24</v>
      </c>
      <c r="AI37" s="1" t="s">
        <v>25</v>
      </c>
      <c r="AJ37" s="1" t="s">
        <v>31</v>
      </c>
      <c r="AK37" s="1" t="s">
        <v>32</v>
      </c>
      <c r="AL37" s="1" t="s">
        <v>33</v>
      </c>
      <c r="AM37" s="1">
        <v>2</v>
      </c>
      <c r="AN37" s="1">
        <v>533.25</v>
      </c>
      <c r="AO37" s="1">
        <v>0</v>
      </c>
      <c r="AP37" s="1">
        <v>1066.5</v>
      </c>
      <c r="AQ37" s="9">
        <v>1066.5</v>
      </c>
      <c r="AR37" s="1">
        <v>0</v>
      </c>
      <c r="AS37" s="11">
        <v>1066.5</v>
      </c>
      <c r="AT37" s="1" t="s">
        <v>170</v>
      </c>
      <c r="AU37" s="1" t="e">
        <v>#NAME?</v>
      </c>
      <c r="AV37" s="1" t="s">
        <v>170</v>
      </c>
    </row>
    <row r="38" spans="1:48" x14ac:dyDescent="0.3">
      <c r="A38" s="5">
        <v>10037</v>
      </c>
      <c r="B38" s="1">
        <v>1747</v>
      </c>
      <c r="C38" s="2">
        <v>45161</v>
      </c>
      <c r="D38" s="2">
        <v>45165</v>
      </c>
      <c r="E38" s="1" t="s">
        <v>37</v>
      </c>
      <c r="F38" s="1" t="s">
        <v>16</v>
      </c>
      <c r="G38" s="1" t="s">
        <v>24</v>
      </c>
      <c r="H38" s="1" t="s">
        <v>18</v>
      </c>
      <c r="I38" s="1" t="s">
        <v>19</v>
      </c>
      <c r="J38" s="1" t="s">
        <v>55</v>
      </c>
      <c r="K38" s="1" t="s">
        <v>21</v>
      </c>
      <c r="L38" s="1">
        <v>4</v>
      </c>
      <c r="M38" s="1">
        <v>853.29</v>
      </c>
      <c r="N38" s="1">
        <v>5</v>
      </c>
      <c r="O38" s="1">
        <v>3242.5</v>
      </c>
      <c r="P38" s="9">
        <f t="shared" si="0"/>
        <v>3413.16</v>
      </c>
      <c r="Q38" s="1"/>
      <c r="R38" s="11"/>
      <c r="S38" s="1"/>
      <c r="T38" s="1"/>
      <c r="U38" s="1"/>
      <c r="AB38" s="5">
        <v>10262</v>
      </c>
      <c r="AC38" s="1">
        <v>1373</v>
      </c>
      <c r="AD38" s="2">
        <v>44996</v>
      </c>
      <c r="AE38" s="2">
        <v>44998</v>
      </c>
      <c r="AF38" s="1" t="s">
        <v>15</v>
      </c>
      <c r="AG38" s="1" t="s">
        <v>23</v>
      </c>
      <c r="AH38" s="1" t="s">
        <v>17</v>
      </c>
      <c r="AI38" s="1" t="s">
        <v>44</v>
      </c>
      <c r="AJ38" s="1" t="s">
        <v>57</v>
      </c>
      <c r="AK38" s="1" t="s">
        <v>59</v>
      </c>
      <c r="AL38" s="1" t="s">
        <v>21</v>
      </c>
      <c r="AM38" s="1">
        <v>7</v>
      </c>
      <c r="AN38" s="1">
        <v>2472.29</v>
      </c>
      <c r="AO38" s="1">
        <v>10</v>
      </c>
      <c r="AP38" s="1">
        <v>15575.43</v>
      </c>
      <c r="AQ38" s="9">
        <v>17306.03</v>
      </c>
      <c r="AR38" s="1">
        <v>1730.6030000000001</v>
      </c>
      <c r="AS38" s="11">
        <v>15575.427</v>
      </c>
      <c r="AT38" s="1" t="s">
        <v>168</v>
      </c>
      <c r="AU38" s="1" t="e">
        <v>#NAME?</v>
      </c>
      <c r="AV38" s="1" t="s">
        <v>168</v>
      </c>
    </row>
    <row r="39" spans="1:48" x14ac:dyDescent="0.3">
      <c r="A39" s="5">
        <v>10038</v>
      </c>
      <c r="B39" s="1">
        <v>1856</v>
      </c>
      <c r="C39" s="2">
        <v>45271</v>
      </c>
      <c r="D39" s="2">
        <v>45280</v>
      </c>
      <c r="E39" s="1" t="s">
        <v>22</v>
      </c>
      <c r="F39" s="1" t="s">
        <v>29</v>
      </c>
      <c r="G39" s="1" t="s">
        <v>24</v>
      </c>
      <c r="H39" s="1" t="s">
        <v>42</v>
      </c>
      <c r="I39" s="1" t="s">
        <v>49</v>
      </c>
      <c r="J39" s="1" t="s">
        <v>63</v>
      </c>
      <c r="K39" s="1" t="s">
        <v>47</v>
      </c>
      <c r="L39" s="1">
        <v>7</v>
      </c>
      <c r="M39" s="1">
        <v>687.46</v>
      </c>
      <c r="N39" s="1">
        <v>20</v>
      </c>
      <c r="O39" s="1">
        <v>3849.78</v>
      </c>
      <c r="P39" s="9">
        <f t="shared" si="0"/>
        <v>4812.22</v>
      </c>
      <c r="Q39" s="1"/>
      <c r="R39" s="11"/>
      <c r="S39" s="1"/>
      <c r="T39" s="1"/>
      <c r="U39" s="1"/>
      <c r="AB39" s="5">
        <v>10264</v>
      </c>
      <c r="AC39" s="1">
        <v>1607</v>
      </c>
      <c r="AD39" s="2">
        <v>45086</v>
      </c>
      <c r="AE39" s="2">
        <v>45091</v>
      </c>
      <c r="AF39" s="1" t="s">
        <v>15</v>
      </c>
      <c r="AG39" s="1" t="s">
        <v>16</v>
      </c>
      <c r="AH39" s="1" t="s">
        <v>30</v>
      </c>
      <c r="AI39" s="1" t="s">
        <v>44</v>
      </c>
      <c r="AJ39" s="1" t="s">
        <v>52</v>
      </c>
      <c r="AK39" s="1" t="s">
        <v>60</v>
      </c>
      <c r="AL39" s="1" t="s">
        <v>47</v>
      </c>
      <c r="AM39" s="1">
        <v>4</v>
      </c>
      <c r="AN39" s="1">
        <v>1126.3</v>
      </c>
      <c r="AO39" s="1">
        <v>20</v>
      </c>
      <c r="AP39" s="1">
        <v>3604.16</v>
      </c>
      <c r="AQ39" s="9">
        <v>4505.2</v>
      </c>
      <c r="AR39" s="1">
        <v>901.04</v>
      </c>
      <c r="AS39" s="11">
        <v>3604.16</v>
      </c>
      <c r="AT39" s="1" t="s">
        <v>170</v>
      </c>
      <c r="AU39" s="1" t="e">
        <v>#NAME?</v>
      </c>
      <c r="AV39" s="1" t="s">
        <v>170</v>
      </c>
    </row>
    <row r="40" spans="1:48" x14ac:dyDescent="0.3">
      <c r="A40" s="5">
        <v>10039</v>
      </c>
      <c r="B40" s="1">
        <v>1560</v>
      </c>
      <c r="C40" s="2">
        <v>44948</v>
      </c>
      <c r="D40" s="2">
        <v>44953</v>
      </c>
      <c r="E40" s="1" t="s">
        <v>34</v>
      </c>
      <c r="F40" s="1" t="s">
        <v>41</v>
      </c>
      <c r="G40" s="1" t="s">
        <v>17</v>
      </c>
      <c r="H40" s="1" t="s">
        <v>18</v>
      </c>
      <c r="I40" s="1" t="s">
        <v>31</v>
      </c>
      <c r="J40" s="1" t="s">
        <v>48</v>
      </c>
      <c r="K40" s="1" t="s">
        <v>45</v>
      </c>
      <c r="L40" s="1">
        <v>7</v>
      </c>
      <c r="M40" s="1">
        <v>2369.42</v>
      </c>
      <c r="N40" s="1">
        <v>15</v>
      </c>
      <c r="O40" s="1">
        <v>14098.05</v>
      </c>
      <c r="P40" s="9">
        <f t="shared" si="0"/>
        <v>16585.940000000002</v>
      </c>
      <c r="Q40" s="1"/>
      <c r="R40" s="11"/>
      <c r="S40" s="1"/>
      <c r="T40" s="1"/>
      <c r="U40" s="1"/>
      <c r="AB40" s="5">
        <v>10269</v>
      </c>
      <c r="AC40" s="1">
        <v>1829</v>
      </c>
      <c r="AD40" s="2">
        <v>45125</v>
      </c>
      <c r="AE40" s="2">
        <v>45132</v>
      </c>
      <c r="AF40" s="1" t="s">
        <v>15</v>
      </c>
      <c r="AG40" s="1" t="s">
        <v>41</v>
      </c>
      <c r="AH40" s="1" t="s">
        <v>24</v>
      </c>
      <c r="AI40" s="1" t="s">
        <v>35</v>
      </c>
      <c r="AJ40" s="1" t="s">
        <v>49</v>
      </c>
      <c r="AK40" s="1" t="s">
        <v>51</v>
      </c>
      <c r="AL40" s="1" t="s">
        <v>47</v>
      </c>
      <c r="AM40" s="1">
        <v>5</v>
      </c>
      <c r="AN40" s="1">
        <v>3156.54</v>
      </c>
      <c r="AO40" s="1">
        <v>20</v>
      </c>
      <c r="AP40" s="1">
        <v>12626.16</v>
      </c>
      <c r="AQ40" s="9">
        <v>15782.7</v>
      </c>
      <c r="AR40" s="1">
        <v>3156.5400000000004</v>
      </c>
      <c r="AS40" s="11">
        <v>12626.16</v>
      </c>
      <c r="AT40" s="1" t="s">
        <v>168</v>
      </c>
      <c r="AU40" s="1" t="e">
        <v>#NAME?</v>
      </c>
      <c r="AV40" s="1" t="s">
        <v>169</v>
      </c>
    </row>
    <row r="41" spans="1:48" x14ac:dyDescent="0.3">
      <c r="A41" s="5">
        <v>10040</v>
      </c>
      <c r="B41" s="1">
        <v>1474</v>
      </c>
      <c r="C41" s="2">
        <v>45274</v>
      </c>
      <c r="D41" s="2">
        <v>45277</v>
      </c>
      <c r="E41" s="1" t="s">
        <v>15</v>
      </c>
      <c r="F41" s="1" t="s">
        <v>16</v>
      </c>
      <c r="G41" s="1" t="s">
        <v>30</v>
      </c>
      <c r="H41" s="1" t="s">
        <v>35</v>
      </c>
      <c r="I41" s="1" t="s">
        <v>26</v>
      </c>
      <c r="J41" s="1" t="s">
        <v>27</v>
      </c>
      <c r="K41" s="1" t="s">
        <v>28</v>
      </c>
      <c r="L41" s="1">
        <v>6</v>
      </c>
      <c r="M41" s="1">
        <v>3083.25</v>
      </c>
      <c r="N41" s="1">
        <v>10</v>
      </c>
      <c r="O41" s="1">
        <v>16649.55</v>
      </c>
      <c r="P41" s="9">
        <f t="shared" si="0"/>
        <v>18499.5</v>
      </c>
      <c r="Q41" s="1"/>
      <c r="R41" s="11"/>
      <c r="S41" s="1"/>
      <c r="T41" s="1"/>
      <c r="U41" s="1"/>
      <c r="AB41" s="5">
        <v>10285</v>
      </c>
      <c r="AC41" s="1">
        <v>1001</v>
      </c>
      <c r="AD41" s="2">
        <v>45104</v>
      </c>
      <c r="AE41" s="2">
        <v>45109</v>
      </c>
      <c r="AF41" s="1" t="s">
        <v>15</v>
      </c>
      <c r="AG41" s="1" t="s">
        <v>23</v>
      </c>
      <c r="AH41" s="1" t="s">
        <v>17</v>
      </c>
      <c r="AI41" s="1" t="s">
        <v>44</v>
      </c>
      <c r="AJ41" s="1" t="s">
        <v>52</v>
      </c>
      <c r="AK41" s="1" t="s">
        <v>56</v>
      </c>
      <c r="AL41" s="1" t="s">
        <v>21</v>
      </c>
      <c r="AM41" s="1">
        <v>2</v>
      </c>
      <c r="AN41" s="1">
        <v>702.07</v>
      </c>
      <c r="AO41" s="1">
        <v>10</v>
      </c>
      <c r="AP41" s="1">
        <v>1263.73</v>
      </c>
      <c r="AQ41" s="9">
        <v>1404.14</v>
      </c>
      <c r="AR41" s="1">
        <v>140.41400000000002</v>
      </c>
      <c r="AS41" s="11">
        <v>1263.7260000000001</v>
      </c>
      <c r="AT41" s="1" t="s">
        <v>170</v>
      </c>
      <c r="AU41" s="1" t="e">
        <v>#NAME?</v>
      </c>
      <c r="AV41" s="1" t="s">
        <v>170</v>
      </c>
    </row>
    <row r="42" spans="1:48" x14ac:dyDescent="0.3">
      <c r="A42" s="5">
        <v>10041</v>
      </c>
      <c r="B42" s="1">
        <v>1058</v>
      </c>
      <c r="C42" s="2">
        <v>45211</v>
      </c>
      <c r="D42" s="2">
        <v>45220</v>
      </c>
      <c r="E42" s="1" t="s">
        <v>37</v>
      </c>
      <c r="F42" s="1" t="s">
        <v>16</v>
      </c>
      <c r="G42" s="1" t="s">
        <v>17</v>
      </c>
      <c r="H42" s="1" t="s">
        <v>25</v>
      </c>
      <c r="I42" s="1" t="s">
        <v>52</v>
      </c>
      <c r="J42" s="1" t="s">
        <v>64</v>
      </c>
      <c r="K42" s="1" t="s">
        <v>21</v>
      </c>
      <c r="L42" s="1">
        <v>8</v>
      </c>
      <c r="M42" s="1">
        <v>3158.8</v>
      </c>
      <c r="N42" s="1">
        <v>0</v>
      </c>
      <c r="O42" s="1">
        <v>25270.400000000001</v>
      </c>
      <c r="P42" s="9">
        <f t="shared" si="0"/>
        <v>25270.400000000001</v>
      </c>
      <c r="Q42" s="1"/>
      <c r="R42" s="11"/>
      <c r="S42" s="1"/>
      <c r="T42" s="1"/>
      <c r="U42" s="1"/>
      <c r="AB42" s="5">
        <v>10286</v>
      </c>
      <c r="AC42" s="1">
        <v>1641</v>
      </c>
      <c r="AD42" s="2">
        <v>45043</v>
      </c>
      <c r="AE42" s="2">
        <v>45050</v>
      </c>
      <c r="AF42" s="1" t="s">
        <v>15</v>
      </c>
      <c r="AG42" s="1" t="s">
        <v>29</v>
      </c>
      <c r="AH42" s="1" t="s">
        <v>17</v>
      </c>
      <c r="AI42" s="1" t="s">
        <v>44</v>
      </c>
      <c r="AJ42" s="1" t="s">
        <v>57</v>
      </c>
      <c r="AK42" s="1" t="s">
        <v>58</v>
      </c>
      <c r="AL42" s="1" t="s">
        <v>28</v>
      </c>
      <c r="AM42" s="1">
        <v>6</v>
      </c>
      <c r="AN42" s="1">
        <v>220.79</v>
      </c>
      <c r="AO42" s="1">
        <v>5</v>
      </c>
      <c r="AP42" s="1">
        <v>1258.5</v>
      </c>
      <c r="AQ42" s="9">
        <v>1324.74</v>
      </c>
      <c r="AR42" s="1">
        <v>66.237000000000009</v>
      </c>
      <c r="AS42" s="11">
        <v>1258.5029999999999</v>
      </c>
      <c r="AT42" s="1" t="s">
        <v>168</v>
      </c>
      <c r="AU42" s="1" t="e">
        <v>#NAME?</v>
      </c>
      <c r="AV42" s="1" t="s">
        <v>168</v>
      </c>
    </row>
    <row r="43" spans="1:48" x14ac:dyDescent="0.3">
      <c r="A43" s="5">
        <v>10042</v>
      </c>
      <c r="B43" s="1">
        <v>1510</v>
      </c>
      <c r="C43" s="2">
        <v>45195</v>
      </c>
      <c r="D43" s="2">
        <v>45204</v>
      </c>
      <c r="E43" s="1" t="s">
        <v>15</v>
      </c>
      <c r="F43" s="1" t="s">
        <v>54</v>
      </c>
      <c r="G43" s="1" t="s">
        <v>24</v>
      </c>
      <c r="H43" s="1" t="s">
        <v>35</v>
      </c>
      <c r="I43" s="1" t="s">
        <v>26</v>
      </c>
      <c r="J43" s="1" t="s">
        <v>27</v>
      </c>
      <c r="K43" s="1" t="s">
        <v>33</v>
      </c>
      <c r="L43" s="1">
        <v>4</v>
      </c>
      <c r="M43" s="1">
        <v>1211.67</v>
      </c>
      <c r="N43" s="1">
        <v>20</v>
      </c>
      <c r="O43" s="1">
        <v>3877.34</v>
      </c>
      <c r="P43" s="9">
        <f t="shared" si="0"/>
        <v>4846.68</v>
      </c>
      <c r="Q43" s="1"/>
      <c r="R43" s="11"/>
      <c r="S43" s="1"/>
      <c r="T43" s="1"/>
      <c r="U43" s="1"/>
      <c r="AB43" s="5">
        <v>10291</v>
      </c>
      <c r="AC43" s="1">
        <v>1735</v>
      </c>
      <c r="AD43" s="2">
        <v>45007</v>
      </c>
      <c r="AE43" s="2">
        <v>45008</v>
      </c>
      <c r="AF43" s="1" t="s">
        <v>15</v>
      </c>
      <c r="AG43" s="1" t="s">
        <v>54</v>
      </c>
      <c r="AH43" s="1" t="s">
        <v>24</v>
      </c>
      <c r="AI43" s="1" t="s">
        <v>25</v>
      </c>
      <c r="AJ43" s="1" t="s">
        <v>52</v>
      </c>
      <c r="AK43" s="1" t="s">
        <v>53</v>
      </c>
      <c r="AL43" s="1" t="s">
        <v>33</v>
      </c>
      <c r="AM43" s="1">
        <v>9</v>
      </c>
      <c r="AN43" s="1">
        <v>2661.11</v>
      </c>
      <c r="AO43" s="1">
        <v>10</v>
      </c>
      <c r="AP43" s="1">
        <v>21554.99</v>
      </c>
      <c r="AQ43" s="9">
        <v>23949.99</v>
      </c>
      <c r="AR43" s="1">
        <v>2394.9990000000003</v>
      </c>
      <c r="AS43" s="11">
        <v>21554.991000000002</v>
      </c>
      <c r="AT43" s="1" t="s">
        <v>168</v>
      </c>
      <c r="AU43" s="1" t="e">
        <v>#NAME?</v>
      </c>
      <c r="AV43" s="1" t="s">
        <v>168</v>
      </c>
    </row>
    <row r="44" spans="1:48" x14ac:dyDescent="0.3">
      <c r="A44" s="5">
        <v>10043</v>
      </c>
      <c r="B44" s="1">
        <v>1681</v>
      </c>
      <c r="C44" s="2">
        <v>45184</v>
      </c>
      <c r="D44" s="2">
        <v>45188</v>
      </c>
      <c r="E44" s="1" t="s">
        <v>37</v>
      </c>
      <c r="F44" s="1" t="s">
        <v>23</v>
      </c>
      <c r="G44" s="1" t="s">
        <v>24</v>
      </c>
      <c r="H44" s="1" t="s">
        <v>35</v>
      </c>
      <c r="I44" s="1" t="s">
        <v>31</v>
      </c>
      <c r="J44" s="1" t="s">
        <v>48</v>
      </c>
      <c r="K44" s="1" t="s">
        <v>45</v>
      </c>
      <c r="L44" s="1">
        <v>5</v>
      </c>
      <c r="M44" s="1">
        <v>936.35</v>
      </c>
      <c r="N44" s="1">
        <v>15</v>
      </c>
      <c r="O44" s="1">
        <v>3979.49</v>
      </c>
      <c r="P44" s="9">
        <f t="shared" si="0"/>
        <v>4681.75</v>
      </c>
      <c r="Q44" s="1"/>
      <c r="R44" s="11"/>
      <c r="S44" s="1"/>
      <c r="T44" s="1"/>
      <c r="U44" s="1"/>
      <c r="AB44" s="5">
        <v>10301</v>
      </c>
      <c r="AC44" s="1">
        <v>1709</v>
      </c>
      <c r="AD44" s="2">
        <v>44943</v>
      </c>
      <c r="AE44" s="2">
        <v>44947</v>
      </c>
      <c r="AF44" s="1" t="s">
        <v>15</v>
      </c>
      <c r="AG44" s="1" t="s">
        <v>29</v>
      </c>
      <c r="AH44" s="1" t="s">
        <v>17</v>
      </c>
      <c r="AI44" s="1" t="s">
        <v>25</v>
      </c>
      <c r="AJ44" s="1" t="s">
        <v>52</v>
      </c>
      <c r="AK44" s="1" t="s">
        <v>53</v>
      </c>
      <c r="AL44" s="1" t="s">
        <v>21</v>
      </c>
      <c r="AM44" s="1">
        <v>4</v>
      </c>
      <c r="AN44" s="1">
        <v>1733.79</v>
      </c>
      <c r="AO44" s="1">
        <v>5</v>
      </c>
      <c r="AP44" s="1">
        <v>6588.4</v>
      </c>
      <c r="AQ44" s="9">
        <v>6935.16</v>
      </c>
      <c r="AR44" s="1">
        <v>346.75800000000004</v>
      </c>
      <c r="AS44" s="11">
        <v>6588.402</v>
      </c>
      <c r="AT44" s="1" t="s">
        <v>170</v>
      </c>
      <c r="AU44" s="1" t="e">
        <v>#NAME?</v>
      </c>
      <c r="AV44" s="1" t="s">
        <v>170</v>
      </c>
    </row>
    <row r="45" spans="1:48" x14ac:dyDescent="0.3">
      <c r="A45" s="5">
        <v>10044</v>
      </c>
      <c r="B45" s="1">
        <v>1475</v>
      </c>
      <c r="C45" s="2">
        <v>44955</v>
      </c>
      <c r="D45" s="2">
        <v>44959</v>
      </c>
      <c r="E45" s="1" t="s">
        <v>16</v>
      </c>
      <c r="F45" s="1" t="s">
        <v>29</v>
      </c>
      <c r="G45" s="1" t="s">
        <v>17</v>
      </c>
      <c r="H45" s="1" t="s">
        <v>42</v>
      </c>
      <c r="I45" s="1" t="s">
        <v>31</v>
      </c>
      <c r="J45" s="1" t="s">
        <v>48</v>
      </c>
      <c r="K45" s="1" t="s">
        <v>47</v>
      </c>
      <c r="L45" s="1">
        <v>4</v>
      </c>
      <c r="M45" s="1">
        <v>214.51</v>
      </c>
      <c r="N45" s="1">
        <v>20</v>
      </c>
      <c r="O45" s="1">
        <v>686.43</v>
      </c>
      <c r="P45" s="9">
        <f t="shared" si="0"/>
        <v>858.04</v>
      </c>
      <c r="Q45" s="1"/>
      <c r="R45" s="11"/>
      <c r="S45" s="1"/>
      <c r="T45" s="1"/>
      <c r="U45" s="1"/>
      <c r="AB45" s="5">
        <v>10307</v>
      </c>
      <c r="AC45" s="1">
        <v>1183</v>
      </c>
      <c r="AD45" s="2">
        <v>45267</v>
      </c>
      <c r="AE45" s="2">
        <v>45273</v>
      </c>
      <c r="AF45" s="1" t="s">
        <v>15</v>
      </c>
      <c r="AG45" s="1" t="s">
        <v>16</v>
      </c>
      <c r="AH45" s="1" t="s">
        <v>24</v>
      </c>
      <c r="AI45" s="1" t="s">
        <v>42</v>
      </c>
      <c r="AJ45" s="1" t="s">
        <v>57</v>
      </c>
      <c r="AK45" s="1" t="s">
        <v>58</v>
      </c>
      <c r="AL45" s="1" t="s">
        <v>28</v>
      </c>
      <c r="AM45" s="1">
        <v>4</v>
      </c>
      <c r="AN45" s="1">
        <v>2008.45</v>
      </c>
      <c r="AO45" s="1">
        <v>5</v>
      </c>
      <c r="AP45" s="1">
        <v>7632.11</v>
      </c>
      <c r="AQ45" s="9">
        <v>8033.8</v>
      </c>
      <c r="AR45" s="1">
        <v>401.69000000000005</v>
      </c>
      <c r="AS45" s="11">
        <v>7632.1100000000006</v>
      </c>
      <c r="AT45" s="1" t="s">
        <v>170</v>
      </c>
      <c r="AU45" s="1" t="e">
        <v>#NAME?</v>
      </c>
      <c r="AV45" s="1" t="s">
        <v>170</v>
      </c>
    </row>
    <row r="46" spans="1:48" x14ac:dyDescent="0.3">
      <c r="A46" s="5">
        <v>10045</v>
      </c>
      <c r="B46" s="1">
        <v>1699</v>
      </c>
      <c r="C46" s="2">
        <v>45139</v>
      </c>
      <c r="D46" s="2">
        <v>45147</v>
      </c>
      <c r="E46" s="1" t="s">
        <v>34</v>
      </c>
      <c r="F46" s="1" t="s">
        <v>16</v>
      </c>
      <c r="G46" s="1" t="s">
        <v>17</v>
      </c>
      <c r="H46" s="1" t="s">
        <v>25</v>
      </c>
      <c r="I46" s="1" t="s">
        <v>26</v>
      </c>
      <c r="J46" s="1" t="s">
        <v>61</v>
      </c>
      <c r="K46" s="1" t="s">
        <v>47</v>
      </c>
      <c r="L46" s="1">
        <v>1</v>
      </c>
      <c r="M46" s="1">
        <v>2764.92</v>
      </c>
      <c r="N46" s="1">
        <v>0</v>
      </c>
      <c r="O46" s="1">
        <v>2764.92</v>
      </c>
      <c r="P46" s="9">
        <f t="shared" si="0"/>
        <v>2764.92</v>
      </c>
      <c r="Q46" s="1"/>
      <c r="R46" s="11"/>
      <c r="S46" s="1"/>
      <c r="T46" s="1"/>
      <c r="U46" s="1"/>
      <c r="AB46" s="5">
        <v>10318</v>
      </c>
      <c r="AC46" s="1">
        <v>1906</v>
      </c>
      <c r="AD46" s="2">
        <v>45093</v>
      </c>
      <c r="AE46" s="2">
        <v>45097</v>
      </c>
      <c r="AF46" s="1" t="s">
        <v>15</v>
      </c>
      <c r="AG46" s="1" t="s">
        <v>23</v>
      </c>
      <c r="AH46" s="1" t="s">
        <v>30</v>
      </c>
      <c r="AI46" s="1" t="s">
        <v>35</v>
      </c>
      <c r="AJ46" s="1" t="s">
        <v>49</v>
      </c>
      <c r="AK46" s="1" t="s">
        <v>68</v>
      </c>
      <c r="AL46" s="1" t="s">
        <v>21</v>
      </c>
      <c r="AM46" s="1">
        <v>7</v>
      </c>
      <c r="AN46" s="1">
        <v>245.03</v>
      </c>
      <c r="AO46" s="1">
        <v>0</v>
      </c>
      <c r="AP46" s="1">
        <v>1715.21</v>
      </c>
      <c r="AQ46" s="9">
        <v>1715.21</v>
      </c>
      <c r="AR46" s="1">
        <v>0</v>
      </c>
      <c r="AS46" s="11">
        <v>1715.21</v>
      </c>
      <c r="AT46" s="1" t="s">
        <v>168</v>
      </c>
      <c r="AU46" s="1" t="e">
        <v>#NAME?</v>
      </c>
      <c r="AV46" s="1" t="s">
        <v>168</v>
      </c>
    </row>
    <row r="47" spans="1:48" x14ac:dyDescent="0.3">
      <c r="A47" s="5">
        <v>10046</v>
      </c>
      <c r="B47" s="1">
        <v>1975</v>
      </c>
      <c r="C47" s="2">
        <v>45209</v>
      </c>
      <c r="D47" s="2">
        <v>45211</v>
      </c>
      <c r="E47" s="1" t="s">
        <v>37</v>
      </c>
      <c r="F47" s="1" t="s">
        <v>54</v>
      </c>
      <c r="G47" s="1" t="s">
        <v>24</v>
      </c>
      <c r="H47" s="1" t="s">
        <v>18</v>
      </c>
      <c r="I47" s="1" t="s">
        <v>49</v>
      </c>
      <c r="J47" s="1" t="s">
        <v>51</v>
      </c>
      <c r="K47" s="1" t="s">
        <v>45</v>
      </c>
      <c r="L47" s="1">
        <v>8</v>
      </c>
      <c r="M47" s="1">
        <v>444.79</v>
      </c>
      <c r="N47" s="1">
        <v>10</v>
      </c>
      <c r="O47" s="1">
        <v>3202.49</v>
      </c>
      <c r="P47" s="9">
        <f t="shared" si="0"/>
        <v>3558.32</v>
      </c>
      <c r="Q47" s="1"/>
      <c r="R47" s="11"/>
      <c r="S47" s="1"/>
      <c r="T47" s="1"/>
      <c r="U47" s="1"/>
      <c r="AB47" s="5">
        <v>10320</v>
      </c>
      <c r="AC47" s="1">
        <v>1751</v>
      </c>
      <c r="AD47" s="2">
        <v>45002</v>
      </c>
      <c r="AE47" s="2">
        <v>45005</v>
      </c>
      <c r="AF47" s="1" t="s">
        <v>15</v>
      </c>
      <c r="AG47" s="1" t="s">
        <v>16</v>
      </c>
      <c r="AH47" s="1" t="s">
        <v>17</v>
      </c>
      <c r="AI47" s="1" t="s">
        <v>35</v>
      </c>
      <c r="AJ47" s="1" t="s">
        <v>26</v>
      </c>
      <c r="AK47" s="1" t="s">
        <v>36</v>
      </c>
      <c r="AL47" s="1" t="s">
        <v>28</v>
      </c>
      <c r="AM47" s="1">
        <v>8</v>
      </c>
      <c r="AN47" s="1">
        <v>2254.7800000000002</v>
      </c>
      <c r="AO47" s="1">
        <v>0</v>
      </c>
      <c r="AP47" s="1">
        <v>18038.240000000002</v>
      </c>
      <c r="AQ47" s="9">
        <v>18038.240000000002</v>
      </c>
      <c r="AR47" s="1">
        <v>0</v>
      </c>
      <c r="AS47" s="11">
        <v>18038.240000000002</v>
      </c>
      <c r="AT47" s="1" t="s">
        <v>168</v>
      </c>
      <c r="AU47" s="1" t="e">
        <v>#NAME?</v>
      </c>
      <c r="AV47" s="1" t="s">
        <v>168</v>
      </c>
    </row>
    <row r="48" spans="1:48" x14ac:dyDescent="0.3">
      <c r="A48" s="5">
        <v>10047</v>
      </c>
      <c r="B48" s="1">
        <v>1782</v>
      </c>
      <c r="C48" s="2">
        <v>44976</v>
      </c>
      <c r="D48" s="2">
        <v>44985</v>
      </c>
      <c r="E48" s="1" t="s">
        <v>40</v>
      </c>
      <c r="F48" s="1" t="s">
        <v>41</v>
      </c>
      <c r="G48" s="1" t="s">
        <v>17</v>
      </c>
      <c r="H48" s="1" t="s">
        <v>18</v>
      </c>
      <c r="I48" s="1" t="s">
        <v>57</v>
      </c>
      <c r="J48" s="1" t="s">
        <v>62</v>
      </c>
      <c r="K48" s="1" t="s">
        <v>47</v>
      </c>
      <c r="L48" s="1">
        <v>1</v>
      </c>
      <c r="M48" s="1">
        <v>1769.93</v>
      </c>
      <c r="N48" s="1">
        <v>20</v>
      </c>
      <c r="O48" s="1">
        <v>1415.94</v>
      </c>
      <c r="P48" s="9">
        <f t="shared" si="0"/>
        <v>1769.93</v>
      </c>
      <c r="Q48" s="1"/>
      <c r="R48" s="11"/>
      <c r="S48" s="1"/>
      <c r="T48" s="1"/>
      <c r="U48" s="1"/>
      <c r="AB48" s="5">
        <v>10322</v>
      </c>
      <c r="AC48" s="1">
        <v>1608</v>
      </c>
      <c r="AD48" s="2">
        <v>45220</v>
      </c>
      <c r="AE48" s="2">
        <v>45222</v>
      </c>
      <c r="AF48" s="1" t="s">
        <v>15</v>
      </c>
      <c r="AG48" s="1" t="s">
        <v>54</v>
      </c>
      <c r="AH48" s="1" t="s">
        <v>30</v>
      </c>
      <c r="AI48" s="1" t="s">
        <v>35</v>
      </c>
      <c r="AJ48" s="1" t="s">
        <v>26</v>
      </c>
      <c r="AK48" s="1" t="s">
        <v>61</v>
      </c>
      <c r="AL48" s="1" t="s">
        <v>28</v>
      </c>
      <c r="AM48" s="1">
        <v>5</v>
      </c>
      <c r="AN48" s="1">
        <v>640.82000000000005</v>
      </c>
      <c r="AO48" s="1">
        <v>0</v>
      </c>
      <c r="AP48" s="1">
        <v>3204.1</v>
      </c>
      <c r="AQ48" s="9">
        <v>3204.1000000000004</v>
      </c>
      <c r="AR48" s="1">
        <v>0</v>
      </c>
      <c r="AS48" s="11">
        <v>3204.1000000000004</v>
      </c>
      <c r="AT48" s="1" t="s">
        <v>168</v>
      </c>
      <c r="AU48" s="1" t="e">
        <v>#NAME?</v>
      </c>
      <c r="AV48" s="1" t="s">
        <v>169</v>
      </c>
    </row>
    <row r="49" spans="1:48" x14ac:dyDescent="0.3">
      <c r="A49" s="5">
        <v>10048</v>
      </c>
      <c r="B49" s="1">
        <v>1189</v>
      </c>
      <c r="C49" s="2">
        <v>45021</v>
      </c>
      <c r="D49" s="2">
        <v>45027</v>
      </c>
      <c r="E49" s="1" t="s">
        <v>22</v>
      </c>
      <c r="F49" s="1" t="s">
        <v>38</v>
      </c>
      <c r="G49" s="1" t="s">
        <v>24</v>
      </c>
      <c r="H49" s="1" t="s">
        <v>44</v>
      </c>
      <c r="I49" s="1" t="s">
        <v>31</v>
      </c>
      <c r="J49" s="1" t="s">
        <v>65</v>
      </c>
      <c r="K49" s="1" t="s">
        <v>28</v>
      </c>
      <c r="L49" s="1">
        <v>5</v>
      </c>
      <c r="M49" s="1">
        <v>2466.48</v>
      </c>
      <c r="N49" s="1">
        <v>5</v>
      </c>
      <c r="O49" s="1">
        <v>11715.78</v>
      </c>
      <c r="P49" s="9">
        <f t="shared" si="0"/>
        <v>12332.4</v>
      </c>
      <c r="Q49" s="1"/>
      <c r="R49" s="11"/>
      <c r="S49" s="1"/>
      <c r="T49" s="1"/>
      <c r="U49" s="1"/>
      <c r="AB49" s="5">
        <v>10332</v>
      </c>
      <c r="AC49" s="1">
        <v>1954</v>
      </c>
      <c r="AD49" s="2">
        <v>44946</v>
      </c>
      <c r="AE49" s="2">
        <v>44955</v>
      </c>
      <c r="AF49" s="1" t="s">
        <v>15</v>
      </c>
      <c r="AG49" s="1" t="s">
        <v>23</v>
      </c>
      <c r="AH49" s="1" t="s">
        <v>17</v>
      </c>
      <c r="AI49" s="1" t="s">
        <v>42</v>
      </c>
      <c r="AJ49" s="1" t="s">
        <v>57</v>
      </c>
      <c r="AK49" s="1" t="s">
        <v>67</v>
      </c>
      <c r="AL49" s="1" t="s">
        <v>21</v>
      </c>
      <c r="AM49" s="1">
        <v>2</v>
      </c>
      <c r="AN49" s="1">
        <v>1335.36</v>
      </c>
      <c r="AO49" s="1">
        <v>5</v>
      </c>
      <c r="AP49" s="1">
        <v>2537.1799999999998</v>
      </c>
      <c r="AQ49" s="9">
        <v>2670.72</v>
      </c>
      <c r="AR49" s="1">
        <v>133.536</v>
      </c>
      <c r="AS49" s="11">
        <v>2537.1839999999997</v>
      </c>
      <c r="AT49" s="1" t="s">
        <v>170</v>
      </c>
      <c r="AU49" s="1" t="e">
        <v>#NAME?</v>
      </c>
      <c r="AV49" s="1" t="s">
        <v>170</v>
      </c>
    </row>
    <row r="50" spans="1:48" x14ac:dyDescent="0.3">
      <c r="A50" s="5">
        <v>10049</v>
      </c>
      <c r="B50" s="1">
        <v>1957</v>
      </c>
      <c r="C50" s="2">
        <v>45014</v>
      </c>
      <c r="D50" s="2">
        <v>45023</v>
      </c>
      <c r="E50" s="1" t="s">
        <v>46</v>
      </c>
      <c r="F50" s="1" t="s">
        <v>29</v>
      </c>
      <c r="G50" s="1" t="s">
        <v>17</v>
      </c>
      <c r="H50" s="1" t="s">
        <v>18</v>
      </c>
      <c r="I50" s="1" t="s">
        <v>26</v>
      </c>
      <c r="J50" s="1" t="s">
        <v>27</v>
      </c>
      <c r="K50" s="1" t="s">
        <v>21</v>
      </c>
      <c r="L50" s="1">
        <v>6</v>
      </c>
      <c r="M50" s="1">
        <v>3757.87</v>
      </c>
      <c r="N50" s="1">
        <v>15</v>
      </c>
      <c r="O50" s="1">
        <v>19165.14</v>
      </c>
      <c r="P50" s="9">
        <f t="shared" si="0"/>
        <v>22547.22</v>
      </c>
      <c r="Q50" s="1"/>
      <c r="R50" s="11"/>
      <c r="S50" s="1"/>
      <c r="T50" s="1"/>
      <c r="U50" s="1"/>
      <c r="AB50" s="5">
        <v>10339</v>
      </c>
      <c r="AC50" s="1">
        <v>1147</v>
      </c>
      <c r="AD50" s="2">
        <v>45005</v>
      </c>
      <c r="AE50" s="2">
        <v>45012</v>
      </c>
      <c r="AF50" s="1" t="s">
        <v>15</v>
      </c>
      <c r="AG50" s="1" t="s">
        <v>54</v>
      </c>
      <c r="AH50" s="1" t="s">
        <v>17</v>
      </c>
      <c r="AI50" s="1" t="s">
        <v>25</v>
      </c>
      <c r="AJ50" s="1" t="s">
        <v>31</v>
      </c>
      <c r="AK50" s="1" t="s">
        <v>32</v>
      </c>
      <c r="AL50" s="1" t="s">
        <v>21</v>
      </c>
      <c r="AM50" s="1">
        <v>4</v>
      </c>
      <c r="AN50" s="1">
        <v>3708.51</v>
      </c>
      <c r="AO50" s="1">
        <v>5</v>
      </c>
      <c r="AP50" s="1">
        <v>14092.34</v>
      </c>
      <c r="AQ50" s="9">
        <v>14834.04</v>
      </c>
      <c r="AR50" s="1">
        <v>741.70200000000011</v>
      </c>
      <c r="AS50" s="11">
        <v>14092.338000000002</v>
      </c>
      <c r="AT50" s="1" t="s">
        <v>170</v>
      </c>
      <c r="AU50" s="1" t="e">
        <v>#NAME?</v>
      </c>
      <c r="AV50" s="1" t="s">
        <v>170</v>
      </c>
    </row>
    <row r="51" spans="1:48" x14ac:dyDescent="0.3">
      <c r="A51" s="5">
        <v>10050</v>
      </c>
      <c r="B51" s="1">
        <v>1686</v>
      </c>
      <c r="C51" s="2">
        <v>44970</v>
      </c>
      <c r="D51" s="2">
        <v>44978</v>
      </c>
      <c r="E51" s="1" t="s">
        <v>40</v>
      </c>
      <c r="F51" s="1" t="s">
        <v>16</v>
      </c>
      <c r="G51" s="1" t="s">
        <v>17</v>
      </c>
      <c r="H51" s="1" t="s">
        <v>42</v>
      </c>
      <c r="I51" s="1" t="s">
        <v>26</v>
      </c>
      <c r="J51" s="1" t="s">
        <v>61</v>
      </c>
      <c r="K51" s="1" t="s">
        <v>28</v>
      </c>
      <c r="L51" s="1">
        <v>6</v>
      </c>
      <c r="M51" s="1">
        <v>1350.44</v>
      </c>
      <c r="N51" s="1">
        <v>20</v>
      </c>
      <c r="O51" s="1">
        <v>6482.11</v>
      </c>
      <c r="P51" s="9">
        <f t="shared" si="0"/>
        <v>8102.64</v>
      </c>
      <c r="Q51" s="1"/>
      <c r="R51" s="11"/>
      <c r="S51" s="1"/>
      <c r="T51" s="1"/>
      <c r="U51" s="1"/>
      <c r="AB51" s="5">
        <v>10342</v>
      </c>
      <c r="AC51" s="1">
        <v>1819</v>
      </c>
      <c r="AD51" s="2">
        <v>45018</v>
      </c>
      <c r="AE51" s="2">
        <v>45019</v>
      </c>
      <c r="AF51" s="1" t="s">
        <v>15</v>
      </c>
      <c r="AG51" s="1" t="s">
        <v>54</v>
      </c>
      <c r="AH51" s="1" t="s">
        <v>17</v>
      </c>
      <c r="AI51" s="1" t="s">
        <v>35</v>
      </c>
      <c r="AJ51" s="1" t="s">
        <v>26</v>
      </c>
      <c r="AK51" s="1" t="s">
        <v>27</v>
      </c>
      <c r="AL51" s="1" t="s">
        <v>47</v>
      </c>
      <c r="AM51" s="1">
        <v>5</v>
      </c>
      <c r="AN51" s="1">
        <v>1853.11</v>
      </c>
      <c r="AO51" s="1">
        <v>10</v>
      </c>
      <c r="AP51" s="1">
        <v>8338.99</v>
      </c>
      <c r="AQ51" s="9">
        <v>9265.5499999999993</v>
      </c>
      <c r="AR51" s="1">
        <v>926.55499999999995</v>
      </c>
      <c r="AS51" s="11">
        <v>8338.994999999999</v>
      </c>
      <c r="AT51" s="1" t="s">
        <v>168</v>
      </c>
      <c r="AU51" s="1" t="e">
        <v>#NAME?</v>
      </c>
      <c r="AV51" s="1" t="s">
        <v>169</v>
      </c>
    </row>
    <row r="52" spans="1:48" x14ac:dyDescent="0.3">
      <c r="A52" s="5">
        <v>10051</v>
      </c>
      <c r="B52" s="1">
        <v>1957</v>
      </c>
      <c r="C52" s="2">
        <v>45204</v>
      </c>
      <c r="D52" s="2">
        <v>45211</v>
      </c>
      <c r="E52" s="1" t="s">
        <v>40</v>
      </c>
      <c r="F52" s="1" t="s">
        <v>23</v>
      </c>
      <c r="G52" s="1" t="s">
        <v>17</v>
      </c>
      <c r="H52" s="1" t="s">
        <v>35</v>
      </c>
      <c r="I52" s="1" t="s">
        <v>19</v>
      </c>
      <c r="J52" s="1" t="s">
        <v>66</v>
      </c>
      <c r="K52" s="1" t="s">
        <v>47</v>
      </c>
      <c r="L52" s="1">
        <v>5</v>
      </c>
      <c r="M52" s="1">
        <v>1111.6199999999999</v>
      </c>
      <c r="N52" s="1">
        <v>15</v>
      </c>
      <c r="O52" s="1">
        <v>4724.3900000000003</v>
      </c>
      <c r="P52" s="9">
        <f t="shared" si="0"/>
        <v>5558.0999999999995</v>
      </c>
      <c r="Q52" s="1"/>
      <c r="R52" s="11"/>
      <c r="S52" s="1"/>
      <c r="T52" s="1"/>
      <c r="U52" s="1"/>
      <c r="AB52" s="5">
        <v>10347</v>
      </c>
      <c r="AC52" s="1">
        <v>1550</v>
      </c>
      <c r="AD52" s="2">
        <v>44952</v>
      </c>
      <c r="AE52" s="2">
        <v>44954</v>
      </c>
      <c r="AF52" s="1" t="s">
        <v>15</v>
      </c>
      <c r="AG52" s="1" t="s">
        <v>29</v>
      </c>
      <c r="AH52" s="1" t="s">
        <v>24</v>
      </c>
      <c r="AI52" s="1" t="s">
        <v>44</v>
      </c>
      <c r="AJ52" s="1" t="s">
        <v>19</v>
      </c>
      <c r="AK52" s="1" t="s">
        <v>20</v>
      </c>
      <c r="AL52" s="1" t="s">
        <v>45</v>
      </c>
      <c r="AM52" s="1">
        <v>4</v>
      </c>
      <c r="AN52" s="1">
        <v>640.37</v>
      </c>
      <c r="AO52" s="1">
        <v>20</v>
      </c>
      <c r="AP52" s="1">
        <v>2049.1799999999998</v>
      </c>
      <c r="AQ52" s="9">
        <v>2561.48</v>
      </c>
      <c r="AR52" s="1">
        <v>512.29600000000005</v>
      </c>
      <c r="AS52" s="11">
        <v>2049.1840000000002</v>
      </c>
      <c r="AT52" s="1" t="s">
        <v>170</v>
      </c>
      <c r="AU52" s="1" t="e">
        <v>#NAME?</v>
      </c>
      <c r="AV52" s="1" t="s">
        <v>170</v>
      </c>
    </row>
    <row r="53" spans="1:48" x14ac:dyDescent="0.3">
      <c r="A53" s="5">
        <v>10052</v>
      </c>
      <c r="B53" s="1">
        <v>1562</v>
      </c>
      <c r="C53" s="2">
        <v>45097</v>
      </c>
      <c r="D53" s="2">
        <v>45098</v>
      </c>
      <c r="E53" s="1" t="s">
        <v>22</v>
      </c>
      <c r="F53" s="1" t="s">
        <v>54</v>
      </c>
      <c r="G53" s="1" t="s">
        <v>24</v>
      </c>
      <c r="H53" s="1" t="s">
        <v>35</v>
      </c>
      <c r="I53" s="1" t="s">
        <v>57</v>
      </c>
      <c r="J53" s="1" t="s">
        <v>62</v>
      </c>
      <c r="K53" s="1" t="s">
        <v>33</v>
      </c>
      <c r="L53" s="1">
        <v>3</v>
      </c>
      <c r="M53" s="1">
        <v>2668.52</v>
      </c>
      <c r="N53" s="1">
        <v>5</v>
      </c>
      <c r="O53" s="1">
        <v>7605.28</v>
      </c>
      <c r="P53" s="9">
        <f t="shared" si="0"/>
        <v>8005.5599999999995</v>
      </c>
      <c r="Q53" s="1"/>
      <c r="R53" s="11"/>
      <c r="S53" s="1"/>
      <c r="T53" s="1"/>
      <c r="U53" s="1"/>
      <c r="AB53" s="5">
        <v>10348</v>
      </c>
      <c r="AC53" s="1">
        <v>1337</v>
      </c>
      <c r="AD53" s="2">
        <v>44992</v>
      </c>
      <c r="AE53" s="2">
        <v>44993</v>
      </c>
      <c r="AF53" s="1" t="s">
        <v>15</v>
      </c>
      <c r="AG53" s="1" t="s">
        <v>29</v>
      </c>
      <c r="AH53" s="1" t="s">
        <v>17</v>
      </c>
      <c r="AI53" s="1" t="s">
        <v>42</v>
      </c>
      <c r="AJ53" s="1" t="s">
        <v>49</v>
      </c>
      <c r="AK53" s="1" t="s">
        <v>68</v>
      </c>
      <c r="AL53" s="1" t="s">
        <v>47</v>
      </c>
      <c r="AM53" s="1">
        <v>9</v>
      </c>
      <c r="AN53" s="1">
        <v>636.14</v>
      </c>
      <c r="AO53" s="1">
        <v>20</v>
      </c>
      <c r="AP53" s="1">
        <v>4580.21</v>
      </c>
      <c r="AQ53" s="9">
        <v>5725.26</v>
      </c>
      <c r="AR53" s="1">
        <v>1145.0520000000001</v>
      </c>
      <c r="AS53" s="11">
        <v>4580.2080000000005</v>
      </c>
      <c r="AT53" s="1" t="s">
        <v>168</v>
      </c>
      <c r="AU53" s="1" t="e">
        <v>#NAME?</v>
      </c>
      <c r="AV53" s="1" t="s">
        <v>168</v>
      </c>
    </row>
    <row r="54" spans="1:48" x14ac:dyDescent="0.3">
      <c r="A54" s="5">
        <v>10053</v>
      </c>
      <c r="B54" s="1">
        <v>1875</v>
      </c>
      <c r="C54" s="2">
        <v>45115</v>
      </c>
      <c r="D54" s="2">
        <v>45118</v>
      </c>
      <c r="E54" s="1" t="s">
        <v>46</v>
      </c>
      <c r="F54" s="1" t="s">
        <v>16</v>
      </c>
      <c r="G54" s="1" t="s">
        <v>17</v>
      </c>
      <c r="H54" s="1" t="s">
        <v>35</v>
      </c>
      <c r="I54" s="1" t="s">
        <v>52</v>
      </c>
      <c r="J54" s="1" t="s">
        <v>64</v>
      </c>
      <c r="K54" s="1" t="s">
        <v>21</v>
      </c>
      <c r="L54" s="1">
        <v>5</v>
      </c>
      <c r="M54" s="1">
        <v>2534.0700000000002</v>
      </c>
      <c r="N54" s="1">
        <v>10</v>
      </c>
      <c r="O54" s="1">
        <v>11403.31</v>
      </c>
      <c r="P54" s="9">
        <f t="shared" si="0"/>
        <v>12670.35</v>
      </c>
      <c r="Q54" s="1"/>
      <c r="R54" s="11"/>
      <c r="S54" s="1"/>
      <c r="T54" s="1"/>
      <c r="U54" s="1"/>
      <c r="AB54" s="5">
        <v>10350</v>
      </c>
      <c r="AC54" s="1">
        <v>1640</v>
      </c>
      <c r="AD54" s="2">
        <v>45180</v>
      </c>
      <c r="AE54" s="2">
        <v>45185</v>
      </c>
      <c r="AF54" s="1" t="s">
        <v>15</v>
      </c>
      <c r="AG54" s="1" t="s">
        <v>41</v>
      </c>
      <c r="AH54" s="1" t="s">
        <v>17</v>
      </c>
      <c r="AI54" s="1" t="s">
        <v>44</v>
      </c>
      <c r="AJ54" s="1" t="s">
        <v>57</v>
      </c>
      <c r="AK54" s="1" t="s">
        <v>62</v>
      </c>
      <c r="AL54" s="1" t="s">
        <v>21</v>
      </c>
      <c r="AM54" s="1">
        <v>1</v>
      </c>
      <c r="AN54" s="1">
        <v>3708.38</v>
      </c>
      <c r="AO54" s="1">
        <v>20</v>
      </c>
      <c r="AP54" s="1">
        <v>2966.7</v>
      </c>
      <c r="AQ54" s="9">
        <v>3708.38</v>
      </c>
      <c r="AR54" s="1">
        <v>741.67600000000004</v>
      </c>
      <c r="AS54" s="11">
        <v>2966.7040000000002</v>
      </c>
      <c r="AT54" s="1" t="s">
        <v>170</v>
      </c>
      <c r="AU54" s="1" t="e">
        <v>#NAME?</v>
      </c>
      <c r="AV54" s="1" t="s">
        <v>170</v>
      </c>
    </row>
    <row r="55" spans="1:48" x14ac:dyDescent="0.3">
      <c r="A55" s="5">
        <v>10054</v>
      </c>
      <c r="B55" s="1">
        <v>1566</v>
      </c>
      <c r="C55" s="2">
        <v>45279</v>
      </c>
      <c r="D55" s="2">
        <v>45281</v>
      </c>
      <c r="E55" s="1" t="s">
        <v>40</v>
      </c>
      <c r="F55" s="1" t="s">
        <v>23</v>
      </c>
      <c r="G55" s="1" t="s">
        <v>24</v>
      </c>
      <c r="H55" s="1" t="s">
        <v>25</v>
      </c>
      <c r="I55" s="1" t="s">
        <v>49</v>
      </c>
      <c r="J55" s="1" t="s">
        <v>50</v>
      </c>
      <c r="K55" s="1" t="s">
        <v>21</v>
      </c>
      <c r="L55" s="1">
        <v>8</v>
      </c>
      <c r="M55" s="1">
        <v>1428.62</v>
      </c>
      <c r="N55" s="1">
        <v>10</v>
      </c>
      <c r="O55" s="1">
        <v>10286.06</v>
      </c>
      <c r="P55" s="9">
        <f t="shared" si="0"/>
        <v>11428.96</v>
      </c>
      <c r="Q55" s="1"/>
      <c r="R55" s="11"/>
      <c r="S55" s="1"/>
      <c r="T55" s="1"/>
      <c r="U55" s="1"/>
      <c r="AB55" s="5">
        <v>10358</v>
      </c>
      <c r="AC55" s="1">
        <v>1989</v>
      </c>
      <c r="AD55" s="2">
        <v>45015</v>
      </c>
      <c r="AE55" s="2">
        <v>45019</v>
      </c>
      <c r="AF55" s="1" t="s">
        <v>15</v>
      </c>
      <c r="AG55" s="1" t="s">
        <v>29</v>
      </c>
      <c r="AH55" s="1" t="s">
        <v>30</v>
      </c>
      <c r="AI55" s="1" t="s">
        <v>35</v>
      </c>
      <c r="AJ55" s="1" t="s">
        <v>57</v>
      </c>
      <c r="AK55" s="1" t="s">
        <v>58</v>
      </c>
      <c r="AL55" s="1" t="s">
        <v>33</v>
      </c>
      <c r="AM55" s="1">
        <v>8</v>
      </c>
      <c r="AN55" s="1">
        <v>3581.12</v>
      </c>
      <c r="AO55" s="1">
        <v>15</v>
      </c>
      <c r="AP55" s="1">
        <v>24351.62</v>
      </c>
      <c r="AQ55" s="9">
        <v>28648.959999999999</v>
      </c>
      <c r="AR55" s="1">
        <v>4297.3440000000001</v>
      </c>
      <c r="AS55" s="11">
        <v>24351.615999999998</v>
      </c>
      <c r="AT55" s="1" t="s">
        <v>168</v>
      </c>
      <c r="AU55" s="1" t="e">
        <v>#NAME?</v>
      </c>
      <c r="AV55" s="1" t="s">
        <v>168</v>
      </c>
    </row>
    <row r="56" spans="1:48" x14ac:dyDescent="0.3">
      <c r="A56" s="5">
        <v>10055</v>
      </c>
      <c r="B56" s="1">
        <v>1243</v>
      </c>
      <c r="C56" s="2">
        <v>45110</v>
      </c>
      <c r="D56" s="2">
        <v>45115</v>
      </c>
      <c r="E56" s="1" t="s">
        <v>37</v>
      </c>
      <c r="F56" s="1" t="s">
        <v>16</v>
      </c>
      <c r="G56" s="1" t="s">
        <v>24</v>
      </c>
      <c r="H56" s="1" t="s">
        <v>18</v>
      </c>
      <c r="I56" s="1" t="s">
        <v>52</v>
      </c>
      <c r="J56" s="1" t="s">
        <v>64</v>
      </c>
      <c r="K56" s="1" t="s">
        <v>45</v>
      </c>
      <c r="L56" s="1">
        <v>2</v>
      </c>
      <c r="M56" s="1">
        <v>3723.19</v>
      </c>
      <c r="N56" s="1">
        <v>5</v>
      </c>
      <c r="O56" s="1">
        <v>7074.06</v>
      </c>
      <c r="P56" s="9">
        <f t="shared" si="0"/>
        <v>7446.38</v>
      </c>
      <c r="Q56" s="1"/>
      <c r="R56" s="11"/>
      <c r="S56" s="1"/>
      <c r="T56" s="1"/>
      <c r="U56" s="1"/>
      <c r="AB56" s="5">
        <v>10366</v>
      </c>
      <c r="AC56" s="1">
        <v>1571</v>
      </c>
      <c r="AD56" s="2">
        <v>45223</v>
      </c>
      <c r="AE56" s="2">
        <v>45226</v>
      </c>
      <c r="AF56" s="1" t="s">
        <v>15</v>
      </c>
      <c r="AG56" s="1" t="s">
        <v>16</v>
      </c>
      <c r="AH56" s="1" t="s">
        <v>24</v>
      </c>
      <c r="AI56" s="1" t="s">
        <v>42</v>
      </c>
      <c r="AJ56" s="1" t="s">
        <v>49</v>
      </c>
      <c r="AK56" s="1" t="s">
        <v>63</v>
      </c>
      <c r="AL56" s="1" t="s">
        <v>21</v>
      </c>
      <c r="AM56" s="1">
        <v>5</v>
      </c>
      <c r="AN56" s="1">
        <v>3320.88</v>
      </c>
      <c r="AO56" s="1">
        <v>0</v>
      </c>
      <c r="AP56" s="1">
        <v>16604.400000000001</v>
      </c>
      <c r="AQ56" s="9">
        <v>16604.400000000001</v>
      </c>
      <c r="AR56" s="1">
        <v>0</v>
      </c>
      <c r="AS56" s="11">
        <v>16604.400000000001</v>
      </c>
      <c r="AT56" s="1" t="s">
        <v>168</v>
      </c>
      <c r="AU56" s="1" t="e">
        <v>#NAME?</v>
      </c>
      <c r="AV56" s="1" t="s">
        <v>169</v>
      </c>
    </row>
    <row r="57" spans="1:48" x14ac:dyDescent="0.3">
      <c r="A57" s="5">
        <v>10056</v>
      </c>
      <c r="B57" s="1">
        <v>1831</v>
      </c>
      <c r="C57" s="2">
        <v>44929</v>
      </c>
      <c r="D57" s="2">
        <v>44934</v>
      </c>
      <c r="E57" s="1" t="s">
        <v>37</v>
      </c>
      <c r="F57" s="1" t="s">
        <v>29</v>
      </c>
      <c r="G57" s="1" t="s">
        <v>17</v>
      </c>
      <c r="H57" s="1" t="s">
        <v>42</v>
      </c>
      <c r="I57" s="1" t="s">
        <v>57</v>
      </c>
      <c r="J57" s="1" t="s">
        <v>62</v>
      </c>
      <c r="K57" s="1" t="s">
        <v>45</v>
      </c>
      <c r="L57" s="1">
        <v>6</v>
      </c>
      <c r="M57" s="1">
        <v>3402.72</v>
      </c>
      <c r="N57" s="1">
        <v>15</v>
      </c>
      <c r="O57" s="1">
        <v>17353.87</v>
      </c>
      <c r="P57" s="9">
        <f t="shared" si="0"/>
        <v>20416.32</v>
      </c>
      <c r="Q57" s="1"/>
      <c r="R57" s="11"/>
      <c r="S57" s="1"/>
      <c r="T57" s="1"/>
      <c r="U57" s="1"/>
      <c r="AB57" s="5">
        <v>10379</v>
      </c>
      <c r="AC57" s="1">
        <v>1658</v>
      </c>
      <c r="AD57" s="2">
        <v>45262</v>
      </c>
      <c r="AE57" s="2">
        <v>45270</v>
      </c>
      <c r="AF57" s="1" t="s">
        <v>15</v>
      </c>
      <c r="AG57" s="1" t="s">
        <v>16</v>
      </c>
      <c r="AH57" s="1" t="s">
        <v>24</v>
      </c>
      <c r="AI57" s="1" t="s">
        <v>35</v>
      </c>
      <c r="AJ57" s="1" t="s">
        <v>26</v>
      </c>
      <c r="AK57" s="1" t="s">
        <v>69</v>
      </c>
      <c r="AL57" s="1" t="s">
        <v>45</v>
      </c>
      <c r="AM57" s="1">
        <v>1</v>
      </c>
      <c r="AN57" s="1">
        <v>3910.66</v>
      </c>
      <c r="AO57" s="1">
        <v>5</v>
      </c>
      <c r="AP57" s="1">
        <v>3715.13</v>
      </c>
      <c r="AQ57" s="9">
        <v>3910.66</v>
      </c>
      <c r="AR57" s="1">
        <v>195.53300000000002</v>
      </c>
      <c r="AS57" s="11">
        <v>3715.127</v>
      </c>
      <c r="AT57" s="1" t="s">
        <v>170</v>
      </c>
      <c r="AU57" s="1" t="e">
        <v>#NAME?</v>
      </c>
      <c r="AV57" s="1" t="s">
        <v>170</v>
      </c>
    </row>
    <row r="58" spans="1:48" x14ac:dyDescent="0.3">
      <c r="A58" s="5">
        <v>10057</v>
      </c>
      <c r="B58" s="1">
        <v>1504</v>
      </c>
      <c r="C58" s="2">
        <v>45117</v>
      </c>
      <c r="D58" s="2">
        <v>45122</v>
      </c>
      <c r="E58" s="1" t="s">
        <v>37</v>
      </c>
      <c r="F58" s="1" t="s">
        <v>29</v>
      </c>
      <c r="G58" s="1" t="s">
        <v>17</v>
      </c>
      <c r="H58" s="1" t="s">
        <v>25</v>
      </c>
      <c r="I58" s="1" t="s">
        <v>57</v>
      </c>
      <c r="J58" s="1" t="s">
        <v>58</v>
      </c>
      <c r="K58" s="1" t="s">
        <v>33</v>
      </c>
      <c r="L58" s="1">
        <v>9</v>
      </c>
      <c r="M58" s="1">
        <v>1012.33</v>
      </c>
      <c r="N58" s="1">
        <v>20</v>
      </c>
      <c r="O58" s="1">
        <v>7288.78</v>
      </c>
      <c r="P58" s="9">
        <f t="shared" si="0"/>
        <v>9110.9700000000012</v>
      </c>
      <c r="Q58" s="1"/>
      <c r="R58" s="11"/>
      <c r="S58" s="1"/>
      <c r="T58" s="1"/>
      <c r="U58" s="1"/>
      <c r="AB58" s="5">
        <v>10386</v>
      </c>
      <c r="AC58" s="1">
        <v>1119</v>
      </c>
      <c r="AD58" s="2">
        <v>45146</v>
      </c>
      <c r="AE58" s="2">
        <v>45154</v>
      </c>
      <c r="AF58" s="1" t="s">
        <v>15</v>
      </c>
      <c r="AG58" s="1" t="s">
        <v>23</v>
      </c>
      <c r="AH58" s="1" t="s">
        <v>24</v>
      </c>
      <c r="AI58" s="1" t="s">
        <v>44</v>
      </c>
      <c r="AJ58" s="1" t="s">
        <v>49</v>
      </c>
      <c r="AK58" s="1" t="s">
        <v>68</v>
      </c>
      <c r="AL58" s="1" t="s">
        <v>28</v>
      </c>
      <c r="AM58" s="1">
        <v>2</v>
      </c>
      <c r="AN58" s="1">
        <v>1984.38</v>
      </c>
      <c r="AO58" s="1">
        <v>10</v>
      </c>
      <c r="AP58" s="1">
        <v>3571.88</v>
      </c>
      <c r="AQ58" s="9">
        <v>3968.76</v>
      </c>
      <c r="AR58" s="1">
        <v>396.87600000000003</v>
      </c>
      <c r="AS58" s="11">
        <v>3571.884</v>
      </c>
      <c r="AT58" s="1" t="s">
        <v>170</v>
      </c>
      <c r="AU58" s="1" t="e">
        <v>#NAME?</v>
      </c>
      <c r="AV58" s="1" t="s">
        <v>170</v>
      </c>
    </row>
    <row r="59" spans="1:48" x14ac:dyDescent="0.3">
      <c r="A59" s="5">
        <v>10058</v>
      </c>
      <c r="B59" s="1">
        <v>1130</v>
      </c>
      <c r="C59" s="2">
        <v>45044</v>
      </c>
      <c r="D59" s="2">
        <v>45048</v>
      </c>
      <c r="E59" s="1" t="s">
        <v>46</v>
      </c>
      <c r="F59" s="1" t="s">
        <v>29</v>
      </c>
      <c r="G59" s="1" t="s">
        <v>24</v>
      </c>
      <c r="H59" s="1" t="s">
        <v>44</v>
      </c>
      <c r="I59" s="1" t="s">
        <v>57</v>
      </c>
      <c r="J59" s="1" t="s">
        <v>59</v>
      </c>
      <c r="K59" s="1" t="s">
        <v>21</v>
      </c>
      <c r="L59" s="1">
        <v>8</v>
      </c>
      <c r="M59" s="1">
        <v>1070.7</v>
      </c>
      <c r="N59" s="1">
        <v>5</v>
      </c>
      <c r="O59" s="1">
        <v>8137.32</v>
      </c>
      <c r="P59" s="9">
        <f t="shared" si="0"/>
        <v>8565.6</v>
      </c>
      <c r="Q59" s="1"/>
      <c r="R59" s="11"/>
      <c r="S59" s="1"/>
      <c r="T59" s="1"/>
      <c r="U59" s="1"/>
      <c r="AB59" s="5">
        <v>10389</v>
      </c>
      <c r="AC59" s="1">
        <v>1627</v>
      </c>
      <c r="AD59" s="2">
        <v>45027</v>
      </c>
      <c r="AE59" s="2">
        <v>45030</v>
      </c>
      <c r="AF59" s="1" t="s">
        <v>15</v>
      </c>
      <c r="AG59" s="1" t="s">
        <v>38</v>
      </c>
      <c r="AH59" s="1" t="s">
        <v>17</v>
      </c>
      <c r="AI59" s="1" t="s">
        <v>35</v>
      </c>
      <c r="AJ59" s="1" t="s">
        <v>26</v>
      </c>
      <c r="AK59" s="1" t="s">
        <v>69</v>
      </c>
      <c r="AL59" s="1" t="s">
        <v>21</v>
      </c>
      <c r="AM59" s="1">
        <v>7</v>
      </c>
      <c r="AN59" s="1">
        <v>3459.29</v>
      </c>
      <c r="AO59" s="1">
        <v>0</v>
      </c>
      <c r="AP59" s="1">
        <v>24215.03</v>
      </c>
      <c r="AQ59" s="9">
        <v>24215.03</v>
      </c>
      <c r="AR59" s="1">
        <v>0</v>
      </c>
      <c r="AS59" s="11">
        <v>24215.03</v>
      </c>
      <c r="AT59" s="1" t="s">
        <v>168</v>
      </c>
      <c r="AU59" s="1" t="e">
        <v>#NAME?</v>
      </c>
      <c r="AV59" s="1" t="s">
        <v>168</v>
      </c>
    </row>
    <row r="60" spans="1:48" x14ac:dyDescent="0.3">
      <c r="A60" s="5">
        <v>10059</v>
      </c>
      <c r="B60" s="1">
        <v>1484</v>
      </c>
      <c r="C60" s="2">
        <v>44945</v>
      </c>
      <c r="D60" s="2">
        <v>44950</v>
      </c>
      <c r="E60" s="1" t="s">
        <v>40</v>
      </c>
      <c r="F60" s="1" t="s">
        <v>41</v>
      </c>
      <c r="G60" s="1" t="s">
        <v>24</v>
      </c>
      <c r="H60" s="1" t="s">
        <v>42</v>
      </c>
      <c r="I60" s="1" t="s">
        <v>52</v>
      </c>
      <c r="J60" s="1" t="s">
        <v>64</v>
      </c>
      <c r="K60" s="1" t="s">
        <v>33</v>
      </c>
      <c r="L60" s="1">
        <v>8</v>
      </c>
      <c r="M60" s="1">
        <v>2122.36</v>
      </c>
      <c r="N60" s="1">
        <v>0</v>
      </c>
      <c r="O60" s="1">
        <v>16978.88</v>
      </c>
      <c r="P60" s="9">
        <f t="shared" si="0"/>
        <v>16978.88</v>
      </c>
      <c r="Q60" s="1"/>
      <c r="R60" s="11"/>
      <c r="S60" s="1"/>
      <c r="T60" s="1"/>
      <c r="U60" s="1"/>
      <c r="AB60" s="5">
        <v>10391</v>
      </c>
      <c r="AC60" s="1">
        <v>1624</v>
      </c>
      <c r="AD60" s="2">
        <v>45033</v>
      </c>
      <c r="AE60" s="2">
        <v>45037</v>
      </c>
      <c r="AF60" s="1" t="s">
        <v>15</v>
      </c>
      <c r="AG60" s="1" t="s">
        <v>29</v>
      </c>
      <c r="AH60" s="1" t="s">
        <v>30</v>
      </c>
      <c r="AI60" s="1" t="s">
        <v>25</v>
      </c>
      <c r="AJ60" s="1" t="s">
        <v>19</v>
      </c>
      <c r="AK60" s="1" t="s">
        <v>66</v>
      </c>
      <c r="AL60" s="1" t="s">
        <v>33</v>
      </c>
      <c r="AM60" s="1">
        <v>6</v>
      </c>
      <c r="AN60" s="1">
        <v>2824.42</v>
      </c>
      <c r="AO60" s="1">
        <v>0</v>
      </c>
      <c r="AP60" s="1">
        <v>16946.52</v>
      </c>
      <c r="AQ60" s="9">
        <v>16946.52</v>
      </c>
      <c r="AR60" s="1">
        <v>0</v>
      </c>
      <c r="AS60" s="11">
        <v>16946.52</v>
      </c>
      <c r="AT60" s="1" t="s">
        <v>168</v>
      </c>
      <c r="AU60" s="1" t="e">
        <v>#NAME?</v>
      </c>
      <c r="AV60" s="1" t="s">
        <v>168</v>
      </c>
    </row>
    <row r="61" spans="1:48" x14ac:dyDescent="0.3">
      <c r="A61" s="5">
        <v>10060</v>
      </c>
      <c r="B61" s="1">
        <v>1818</v>
      </c>
      <c r="C61" s="2">
        <v>44949</v>
      </c>
      <c r="D61" s="2">
        <v>44952</v>
      </c>
      <c r="E61" s="1" t="s">
        <v>46</v>
      </c>
      <c r="F61" s="1" t="s">
        <v>41</v>
      </c>
      <c r="G61" s="1" t="s">
        <v>30</v>
      </c>
      <c r="H61" s="1" t="s">
        <v>42</v>
      </c>
      <c r="I61" s="1" t="s">
        <v>57</v>
      </c>
      <c r="J61" s="1" t="s">
        <v>62</v>
      </c>
      <c r="K61" s="1" t="s">
        <v>45</v>
      </c>
      <c r="L61" s="1">
        <v>8</v>
      </c>
      <c r="M61" s="1">
        <v>3128.25</v>
      </c>
      <c r="N61" s="1">
        <v>15</v>
      </c>
      <c r="O61" s="1">
        <v>21272.1</v>
      </c>
      <c r="P61" s="9">
        <f t="shared" si="0"/>
        <v>25026</v>
      </c>
      <c r="Q61" s="1"/>
      <c r="R61" s="11"/>
      <c r="S61" s="1"/>
      <c r="T61" s="1"/>
      <c r="U61" s="1"/>
      <c r="AB61" s="5">
        <v>10419</v>
      </c>
      <c r="AC61" s="1">
        <v>1397</v>
      </c>
      <c r="AD61" s="2">
        <v>45122</v>
      </c>
      <c r="AE61" s="2">
        <v>45129</v>
      </c>
      <c r="AF61" s="1" t="s">
        <v>15</v>
      </c>
      <c r="AG61" s="1" t="s">
        <v>16</v>
      </c>
      <c r="AH61" s="1" t="s">
        <v>24</v>
      </c>
      <c r="AI61" s="1" t="s">
        <v>35</v>
      </c>
      <c r="AJ61" s="1" t="s">
        <v>26</v>
      </c>
      <c r="AK61" s="1" t="s">
        <v>27</v>
      </c>
      <c r="AL61" s="1" t="s">
        <v>47</v>
      </c>
      <c r="AM61" s="1">
        <v>8</v>
      </c>
      <c r="AN61" s="1">
        <v>1975.53</v>
      </c>
      <c r="AO61" s="1">
        <v>5</v>
      </c>
      <c r="AP61" s="1">
        <v>15014.03</v>
      </c>
      <c r="AQ61" s="9">
        <v>15804.24</v>
      </c>
      <c r="AR61" s="1">
        <v>790.21199999999999</v>
      </c>
      <c r="AS61" s="11">
        <v>15014.028</v>
      </c>
      <c r="AT61" s="1" t="s">
        <v>168</v>
      </c>
      <c r="AU61" s="1" t="e">
        <v>#NAME?</v>
      </c>
      <c r="AV61" s="1" t="s">
        <v>168</v>
      </c>
    </row>
    <row r="62" spans="1:48" x14ac:dyDescent="0.3">
      <c r="A62" s="5">
        <v>10061</v>
      </c>
      <c r="B62" s="1">
        <v>1646</v>
      </c>
      <c r="C62" s="2">
        <v>44956</v>
      </c>
      <c r="D62" s="2">
        <v>44957</v>
      </c>
      <c r="E62" s="1" t="s">
        <v>37</v>
      </c>
      <c r="F62" s="1" t="s">
        <v>54</v>
      </c>
      <c r="G62" s="1" t="s">
        <v>24</v>
      </c>
      <c r="H62" s="1" t="s">
        <v>42</v>
      </c>
      <c r="I62" s="1" t="s">
        <v>26</v>
      </c>
      <c r="J62" s="1" t="s">
        <v>36</v>
      </c>
      <c r="K62" s="1" t="s">
        <v>45</v>
      </c>
      <c r="L62" s="1">
        <v>7</v>
      </c>
      <c r="M62" s="1">
        <v>319.56</v>
      </c>
      <c r="N62" s="1">
        <v>10</v>
      </c>
      <c r="O62" s="1">
        <v>2013.23</v>
      </c>
      <c r="P62" s="9">
        <f t="shared" si="0"/>
        <v>2236.92</v>
      </c>
      <c r="Q62" s="1"/>
      <c r="R62" s="11"/>
      <c r="S62" s="1"/>
      <c r="T62" s="1"/>
      <c r="U62" s="1"/>
      <c r="AB62" s="5">
        <v>10420</v>
      </c>
      <c r="AC62" s="1">
        <v>1276</v>
      </c>
      <c r="AD62" s="2">
        <v>45207</v>
      </c>
      <c r="AE62" s="2">
        <v>45209</v>
      </c>
      <c r="AF62" s="1" t="s">
        <v>15</v>
      </c>
      <c r="AG62" s="1" t="s">
        <v>29</v>
      </c>
      <c r="AH62" s="1" t="s">
        <v>24</v>
      </c>
      <c r="AI62" s="1" t="s">
        <v>18</v>
      </c>
      <c r="AJ62" s="1" t="s">
        <v>19</v>
      </c>
      <c r="AK62" s="1" t="s">
        <v>66</v>
      </c>
      <c r="AL62" s="1" t="s">
        <v>21</v>
      </c>
      <c r="AM62" s="1">
        <v>2</v>
      </c>
      <c r="AN62" s="1">
        <v>406.77</v>
      </c>
      <c r="AO62" s="1">
        <v>10</v>
      </c>
      <c r="AP62" s="1">
        <v>732.19</v>
      </c>
      <c r="AQ62" s="9">
        <v>813.54</v>
      </c>
      <c r="AR62" s="1">
        <v>81.353999999999999</v>
      </c>
      <c r="AS62" s="11">
        <v>732.18599999999992</v>
      </c>
      <c r="AT62" s="1" t="s">
        <v>170</v>
      </c>
      <c r="AU62" s="1" t="e">
        <v>#NAME?</v>
      </c>
      <c r="AV62" s="1" t="s">
        <v>170</v>
      </c>
    </row>
    <row r="63" spans="1:48" x14ac:dyDescent="0.3">
      <c r="A63" s="5">
        <v>10062</v>
      </c>
      <c r="B63" s="1">
        <v>1020</v>
      </c>
      <c r="C63" s="2">
        <v>45221</v>
      </c>
      <c r="D63" s="2">
        <v>45226</v>
      </c>
      <c r="E63" s="1" t="s">
        <v>22</v>
      </c>
      <c r="F63" s="1" t="s">
        <v>29</v>
      </c>
      <c r="G63" s="1" t="s">
        <v>30</v>
      </c>
      <c r="H63" s="1" t="s">
        <v>35</v>
      </c>
      <c r="I63" s="1" t="s">
        <v>52</v>
      </c>
      <c r="J63" s="1" t="s">
        <v>56</v>
      </c>
      <c r="K63" s="1" t="s">
        <v>21</v>
      </c>
      <c r="L63" s="1">
        <v>8</v>
      </c>
      <c r="M63" s="1">
        <v>2819.34</v>
      </c>
      <c r="N63" s="1">
        <v>5</v>
      </c>
      <c r="O63" s="1">
        <v>21426.98</v>
      </c>
      <c r="P63" s="9">
        <f t="shared" si="0"/>
        <v>22554.720000000001</v>
      </c>
      <c r="Q63" s="1"/>
      <c r="R63" s="11"/>
      <c r="S63" s="1"/>
      <c r="T63" s="1"/>
      <c r="U63" s="1"/>
      <c r="AB63" s="5">
        <v>10433</v>
      </c>
      <c r="AC63" s="1">
        <v>1954</v>
      </c>
      <c r="AD63" s="2">
        <v>45152</v>
      </c>
      <c r="AE63" s="2">
        <v>45159</v>
      </c>
      <c r="AF63" s="1" t="s">
        <v>15</v>
      </c>
      <c r="AG63" s="1" t="s">
        <v>54</v>
      </c>
      <c r="AH63" s="1" t="s">
        <v>17</v>
      </c>
      <c r="AI63" s="1" t="s">
        <v>18</v>
      </c>
      <c r="AJ63" s="1" t="s">
        <v>49</v>
      </c>
      <c r="AK63" s="1" t="s">
        <v>51</v>
      </c>
      <c r="AL63" s="1" t="s">
        <v>33</v>
      </c>
      <c r="AM63" s="1">
        <v>4</v>
      </c>
      <c r="AN63" s="1">
        <v>3590.5</v>
      </c>
      <c r="AO63" s="1">
        <v>0</v>
      </c>
      <c r="AP63" s="1">
        <v>14362</v>
      </c>
      <c r="AQ63" s="9">
        <v>14362</v>
      </c>
      <c r="AR63" s="1">
        <v>0</v>
      </c>
      <c r="AS63" s="11">
        <v>14362</v>
      </c>
      <c r="AT63" s="1" t="s">
        <v>170</v>
      </c>
      <c r="AU63" s="1" t="e">
        <v>#NAME?</v>
      </c>
      <c r="AV63" s="1" t="s">
        <v>170</v>
      </c>
    </row>
    <row r="64" spans="1:48" x14ac:dyDescent="0.3">
      <c r="A64" s="5">
        <v>10063</v>
      </c>
      <c r="B64" s="1">
        <v>1840</v>
      </c>
      <c r="C64" s="2">
        <v>45034</v>
      </c>
      <c r="D64" s="2">
        <v>45043</v>
      </c>
      <c r="E64" s="1" t="s">
        <v>40</v>
      </c>
      <c r="F64" s="1" t="s">
        <v>23</v>
      </c>
      <c r="G64" s="1" t="s">
        <v>30</v>
      </c>
      <c r="H64" s="1" t="s">
        <v>42</v>
      </c>
      <c r="I64" s="1" t="s">
        <v>57</v>
      </c>
      <c r="J64" s="1" t="s">
        <v>62</v>
      </c>
      <c r="K64" s="1" t="s">
        <v>28</v>
      </c>
      <c r="L64" s="1">
        <v>6</v>
      </c>
      <c r="M64" s="1">
        <v>2645.71</v>
      </c>
      <c r="N64" s="1">
        <v>10</v>
      </c>
      <c r="O64" s="1">
        <v>14286.83</v>
      </c>
      <c r="P64" s="9">
        <f t="shared" si="0"/>
        <v>15874.26</v>
      </c>
      <c r="Q64" s="1"/>
      <c r="R64" s="11"/>
      <c r="S64" s="1"/>
      <c r="T64" s="1"/>
      <c r="U64" s="1"/>
      <c r="AB64" s="5">
        <v>10435</v>
      </c>
      <c r="AC64" s="1">
        <v>1469</v>
      </c>
      <c r="AD64" s="2">
        <v>45002</v>
      </c>
      <c r="AE64" s="2">
        <v>45009</v>
      </c>
      <c r="AF64" s="1" t="s">
        <v>15</v>
      </c>
      <c r="AG64" s="1" t="s">
        <v>29</v>
      </c>
      <c r="AH64" s="1" t="s">
        <v>24</v>
      </c>
      <c r="AI64" s="1" t="s">
        <v>44</v>
      </c>
      <c r="AJ64" s="1" t="s">
        <v>52</v>
      </c>
      <c r="AK64" s="1" t="s">
        <v>56</v>
      </c>
      <c r="AL64" s="1" t="s">
        <v>21</v>
      </c>
      <c r="AM64" s="1">
        <v>3</v>
      </c>
      <c r="AN64" s="1">
        <v>3644.78</v>
      </c>
      <c r="AO64" s="1">
        <v>0</v>
      </c>
      <c r="AP64" s="1">
        <v>10934.34</v>
      </c>
      <c r="AQ64" s="9">
        <v>10934.34</v>
      </c>
      <c r="AR64" s="1">
        <v>0</v>
      </c>
      <c r="AS64" s="11">
        <v>10934.34</v>
      </c>
      <c r="AT64" s="1" t="s">
        <v>170</v>
      </c>
      <c r="AU64" s="1" t="e">
        <v>#NAME?</v>
      </c>
      <c r="AV64" s="1" t="s">
        <v>170</v>
      </c>
    </row>
    <row r="65" spans="1:48" x14ac:dyDescent="0.3">
      <c r="A65" s="5">
        <v>10064</v>
      </c>
      <c r="B65" s="1">
        <v>1166</v>
      </c>
      <c r="C65" s="2">
        <v>45207</v>
      </c>
      <c r="D65" s="2">
        <v>45216</v>
      </c>
      <c r="E65" s="1" t="s">
        <v>40</v>
      </c>
      <c r="F65" s="1" t="s">
        <v>16</v>
      </c>
      <c r="G65" s="1" t="s">
        <v>30</v>
      </c>
      <c r="H65" s="1" t="s">
        <v>18</v>
      </c>
      <c r="I65" s="1" t="s">
        <v>26</v>
      </c>
      <c r="J65" s="1" t="s">
        <v>36</v>
      </c>
      <c r="K65" s="1" t="s">
        <v>47</v>
      </c>
      <c r="L65" s="1">
        <v>2</v>
      </c>
      <c r="M65" s="1">
        <v>1041.2</v>
      </c>
      <c r="N65" s="1">
        <v>15</v>
      </c>
      <c r="O65" s="1">
        <v>1770.04</v>
      </c>
      <c r="P65" s="9">
        <f t="shared" si="0"/>
        <v>2082.4</v>
      </c>
      <c r="Q65" s="1"/>
      <c r="R65" s="11"/>
      <c r="S65" s="1"/>
      <c r="T65" s="1"/>
      <c r="U65" s="1"/>
      <c r="AB65" s="5">
        <v>10436</v>
      </c>
      <c r="AC65" s="1">
        <v>1374</v>
      </c>
      <c r="AD65" s="2">
        <v>45212</v>
      </c>
      <c r="AE65" s="2">
        <v>45213</v>
      </c>
      <c r="AF65" s="1" t="s">
        <v>15</v>
      </c>
      <c r="AG65" s="1" t="s">
        <v>23</v>
      </c>
      <c r="AH65" s="1" t="s">
        <v>30</v>
      </c>
      <c r="AI65" s="1" t="s">
        <v>18</v>
      </c>
      <c r="AJ65" s="1" t="s">
        <v>52</v>
      </c>
      <c r="AK65" s="1" t="s">
        <v>60</v>
      </c>
      <c r="AL65" s="1" t="s">
        <v>21</v>
      </c>
      <c r="AM65" s="1">
        <v>3</v>
      </c>
      <c r="AN65" s="1">
        <v>3986.78</v>
      </c>
      <c r="AO65" s="1">
        <v>20</v>
      </c>
      <c r="AP65" s="1">
        <v>9568.27</v>
      </c>
      <c r="AQ65" s="9">
        <v>11960.34</v>
      </c>
      <c r="AR65" s="1">
        <v>2392.0680000000002</v>
      </c>
      <c r="AS65" s="11">
        <v>9568.2720000000008</v>
      </c>
      <c r="AT65" s="1" t="s">
        <v>170</v>
      </c>
      <c r="AU65" s="1" t="e">
        <v>#NAME?</v>
      </c>
      <c r="AV65" s="1" t="s">
        <v>170</v>
      </c>
    </row>
    <row r="66" spans="1:48" x14ac:dyDescent="0.3">
      <c r="A66" s="5">
        <v>10065</v>
      </c>
      <c r="B66" s="1">
        <v>1273</v>
      </c>
      <c r="C66" s="2">
        <v>45054</v>
      </c>
      <c r="D66" s="2">
        <v>45058</v>
      </c>
      <c r="E66" s="1" t="s">
        <v>15</v>
      </c>
      <c r="F66" s="1" t="s">
        <v>38</v>
      </c>
      <c r="G66" s="1" t="s">
        <v>17</v>
      </c>
      <c r="H66" s="1" t="s">
        <v>42</v>
      </c>
      <c r="I66" s="1" t="s">
        <v>19</v>
      </c>
      <c r="J66" s="1" t="s">
        <v>43</v>
      </c>
      <c r="K66" s="1" t="s">
        <v>45</v>
      </c>
      <c r="L66" s="1">
        <v>2</v>
      </c>
      <c r="M66" s="1">
        <v>2773.21</v>
      </c>
      <c r="N66" s="1">
        <v>10</v>
      </c>
      <c r="O66" s="1">
        <v>4991.78</v>
      </c>
      <c r="P66" s="9">
        <f t="shared" si="0"/>
        <v>5546.42</v>
      </c>
      <c r="Q66" s="1"/>
      <c r="R66" s="11"/>
      <c r="S66" s="1"/>
      <c r="T66" s="1"/>
      <c r="U66" s="1"/>
      <c r="AB66" s="5">
        <v>10442</v>
      </c>
      <c r="AC66" s="1">
        <v>1364</v>
      </c>
      <c r="AD66" s="2">
        <v>45089</v>
      </c>
      <c r="AE66" s="2">
        <v>45094</v>
      </c>
      <c r="AF66" s="1" t="s">
        <v>15</v>
      </c>
      <c r="AG66" s="1" t="s">
        <v>23</v>
      </c>
      <c r="AH66" s="1" t="s">
        <v>24</v>
      </c>
      <c r="AI66" s="1" t="s">
        <v>35</v>
      </c>
      <c r="AJ66" s="1" t="s">
        <v>57</v>
      </c>
      <c r="AK66" s="1" t="s">
        <v>58</v>
      </c>
      <c r="AL66" s="1" t="s">
        <v>45</v>
      </c>
      <c r="AM66" s="1">
        <v>9</v>
      </c>
      <c r="AN66" s="1">
        <v>2969.7</v>
      </c>
      <c r="AO66" s="1">
        <v>10</v>
      </c>
      <c r="AP66" s="1">
        <v>24054.57</v>
      </c>
      <c r="AQ66" s="9">
        <v>26727.3</v>
      </c>
      <c r="AR66" s="1">
        <v>2672.73</v>
      </c>
      <c r="AS66" s="11">
        <v>24054.57</v>
      </c>
      <c r="AT66" s="1" t="s">
        <v>168</v>
      </c>
      <c r="AU66" s="1" t="e">
        <v>#NAME?</v>
      </c>
      <c r="AV66" s="1" t="s">
        <v>168</v>
      </c>
    </row>
    <row r="67" spans="1:48" x14ac:dyDescent="0.3">
      <c r="A67" s="5">
        <v>10066</v>
      </c>
      <c r="B67" s="1">
        <v>1387</v>
      </c>
      <c r="C67" s="2">
        <v>45155</v>
      </c>
      <c r="D67" s="2">
        <v>45158</v>
      </c>
      <c r="E67" s="1" t="s">
        <v>15</v>
      </c>
      <c r="F67" s="1" t="s">
        <v>23</v>
      </c>
      <c r="G67" s="1" t="s">
        <v>17</v>
      </c>
      <c r="H67" s="1" t="s">
        <v>35</v>
      </c>
      <c r="I67" s="1" t="s">
        <v>57</v>
      </c>
      <c r="J67" s="1" t="s">
        <v>67</v>
      </c>
      <c r="K67" s="1" t="s">
        <v>45</v>
      </c>
      <c r="L67" s="1">
        <v>8</v>
      </c>
      <c r="M67" s="1">
        <v>3769.71</v>
      </c>
      <c r="N67" s="1">
        <v>5</v>
      </c>
      <c r="O67" s="1">
        <v>28649.8</v>
      </c>
      <c r="P67" s="9">
        <f t="shared" ref="P67:P130" si="1">L67*M67</f>
        <v>30157.68</v>
      </c>
      <c r="Q67" s="1"/>
      <c r="R67" s="11"/>
      <c r="S67" s="1"/>
      <c r="T67" s="1"/>
      <c r="U67" s="1"/>
      <c r="AB67" s="5">
        <v>10451</v>
      </c>
      <c r="AC67" s="1">
        <v>1608</v>
      </c>
      <c r="AD67" s="2">
        <v>45102</v>
      </c>
      <c r="AE67" s="2">
        <v>45110</v>
      </c>
      <c r="AF67" s="1" t="s">
        <v>15</v>
      </c>
      <c r="AG67" s="1" t="s">
        <v>29</v>
      </c>
      <c r="AH67" s="1" t="s">
        <v>24</v>
      </c>
      <c r="AI67" s="1" t="s">
        <v>25</v>
      </c>
      <c r="AJ67" s="1" t="s">
        <v>57</v>
      </c>
      <c r="AK67" s="1" t="s">
        <v>59</v>
      </c>
      <c r="AL67" s="1" t="s">
        <v>28</v>
      </c>
      <c r="AM67" s="1">
        <v>7</v>
      </c>
      <c r="AN67" s="1">
        <v>1332.87</v>
      </c>
      <c r="AO67" s="1">
        <v>0</v>
      </c>
      <c r="AP67" s="1">
        <v>9330.09</v>
      </c>
      <c r="AQ67" s="9">
        <v>9330.09</v>
      </c>
      <c r="AR67" s="1">
        <v>0</v>
      </c>
      <c r="AS67" s="11">
        <v>9330.09</v>
      </c>
      <c r="AT67" s="1" t="s">
        <v>168</v>
      </c>
      <c r="AU67" s="1" t="e">
        <v>#NAME?</v>
      </c>
      <c r="AV67" s="1" t="s">
        <v>168</v>
      </c>
    </row>
    <row r="68" spans="1:48" x14ac:dyDescent="0.3">
      <c r="A68" s="5">
        <v>10067</v>
      </c>
      <c r="B68" s="1">
        <v>1600</v>
      </c>
      <c r="C68" s="2">
        <v>45037</v>
      </c>
      <c r="D68" s="2">
        <v>45038</v>
      </c>
      <c r="E68" s="1" t="s">
        <v>16</v>
      </c>
      <c r="F68" s="1" t="s">
        <v>41</v>
      </c>
      <c r="G68" s="1" t="s">
        <v>24</v>
      </c>
      <c r="H68" s="1" t="s">
        <v>42</v>
      </c>
      <c r="I68" s="1" t="s">
        <v>52</v>
      </c>
      <c r="J68" s="1" t="s">
        <v>64</v>
      </c>
      <c r="K68" s="1" t="s">
        <v>28</v>
      </c>
      <c r="L68" s="1">
        <v>1</v>
      </c>
      <c r="M68" s="1">
        <v>330.13</v>
      </c>
      <c r="N68" s="1">
        <v>15</v>
      </c>
      <c r="O68" s="1">
        <v>280.61</v>
      </c>
      <c r="P68" s="9">
        <f t="shared" si="1"/>
        <v>330.13</v>
      </c>
      <c r="Q68" s="1"/>
      <c r="R68" s="11"/>
      <c r="S68" s="1"/>
      <c r="T68" s="1"/>
      <c r="U68" s="1"/>
      <c r="AB68" s="5">
        <v>10455</v>
      </c>
      <c r="AC68" s="1">
        <v>1480</v>
      </c>
      <c r="AD68" s="2">
        <v>45034</v>
      </c>
      <c r="AE68" s="2">
        <v>45036</v>
      </c>
      <c r="AF68" s="1" t="s">
        <v>15</v>
      </c>
      <c r="AG68" s="1" t="s">
        <v>29</v>
      </c>
      <c r="AH68" s="1" t="s">
        <v>17</v>
      </c>
      <c r="AI68" s="1" t="s">
        <v>18</v>
      </c>
      <c r="AJ68" s="1" t="s">
        <v>52</v>
      </c>
      <c r="AK68" s="1" t="s">
        <v>64</v>
      </c>
      <c r="AL68" s="1" t="s">
        <v>45</v>
      </c>
      <c r="AM68" s="1">
        <v>2</v>
      </c>
      <c r="AN68" s="1">
        <v>1374.23</v>
      </c>
      <c r="AO68" s="1">
        <v>0</v>
      </c>
      <c r="AP68" s="1">
        <v>2748.46</v>
      </c>
      <c r="AQ68" s="9">
        <v>2748.46</v>
      </c>
      <c r="AR68" s="1">
        <v>0</v>
      </c>
      <c r="AS68" s="11">
        <v>2748.46</v>
      </c>
      <c r="AT68" s="1" t="s">
        <v>170</v>
      </c>
      <c r="AU68" s="1" t="e">
        <v>#NAME?</v>
      </c>
      <c r="AV68" s="1" t="s">
        <v>170</v>
      </c>
    </row>
    <row r="69" spans="1:48" x14ac:dyDescent="0.3">
      <c r="A69" s="5">
        <v>10068</v>
      </c>
      <c r="B69" s="1">
        <v>1315</v>
      </c>
      <c r="C69" s="2">
        <v>45062</v>
      </c>
      <c r="D69" s="2">
        <v>45064</v>
      </c>
      <c r="E69" s="1" t="s">
        <v>34</v>
      </c>
      <c r="F69" s="1" t="s">
        <v>41</v>
      </c>
      <c r="G69" s="1" t="s">
        <v>30</v>
      </c>
      <c r="H69" s="1" t="s">
        <v>44</v>
      </c>
      <c r="I69" s="1" t="s">
        <v>31</v>
      </c>
      <c r="J69" s="1" t="s">
        <v>48</v>
      </c>
      <c r="K69" s="1" t="s">
        <v>28</v>
      </c>
      <c r="L69" s="1">
        <v>6</v>
      </c>
      <c r="M69" s="1">
        <v>1380.66</v>
      </c>
      <c r="N69" s="1">
        <v>0</v>
      </c>
      <c r="O69" s="1">
        <v>8283.9599999999991</v>
      </c>
      <c r="P69" s="9">
        <f t="shared" si="1"/>
        <v>8283.9600000000009</v>
      </c>
      <c r="Q69" s="1"/>
      <c r="R69" s="11"/>
      <c r="S69" s="1"/>
      <c r="T69" s="1"/>
      <c r="U69" s="1"/>
      <c r="AB69" s="5">
        <v>10462</v>
      </c>
      <c r="AC69" s="1">
        <v>1191</v>
      </c>
      <c r="AD69" s="2">
        <v>45198</v>
      </c>
      <c r="AE69" s="2">
        <v>45205</v>
      </c>
      <c r="AF69" s="1" t="s">
        <v>15</v>
      </c>
      <c r="AG69" s="1" t="s">
        <v>38</v>
      </c>
      <c r="AH69" s="1" t="s">
        <v>17</v>
      </c>
      <c r="AI69" s="1" t="s">
        <v>25</v>
      </c>
      <c r="AJ69" s="1" t="s">
        <v>52</v>
      </c>
      <c r="AK69" s="1" t="s">
        <v>64</v>
      </c>
      <c r="AL69" s="1" t="s">
        <v>45</v>
      </c>
      <c r="AM69" s="1">
        <v>6</v>
      </c>
      <c r="AN69" s="1">
        <v>385.25</v>
      </c>
      <c r="AO69" s="1">
        <v>10</v>
      </c>
      <c r="AP69" s="1">
        <v>2080.35</v>
      </c>
      <c r="AQ69" s="9">
        <v>2311.5</v>
      </c>
      <c r="AR69" s="1">
        <v>231.15</v>
      </c>
      <c r="AS69" s="11">
        <v>2080.35</v>
      </c>
      <c r="AT69" s="1" t="s">
        <v>168</v>
      </c>
      <c r="AU69" s="1" t="e">
        <v>#NAME?</v>
      </c>
      <c r="AV69" s="1" t="s">
        <v>168</v>
      </c>
    </row>
    <row r="70" spans="1:48" x14ac:dyDescent="0.3">
      <c r="A70" s="5">
        <v>10069</v>
      </c>
      <c r="B70" s="1">
        <v>1013</v>
      </c>
      <c r="C70" s="2">
        <v>45288</v>
      </c>
      <c r="D70" s="2">
        <v>45296</v>
      </c>
      <c r="E70" s="1" t="s">
        <v>15</v>
      </c>
      <c r="F70" s="1" t="s">
        <v>23</v>
      </c>
      <c r="G70" s="1" t="s">
        <v>17</v>
      </c>
      <c r="H70" s="1" t="s">
        <v>44</v>
      </c>
      <c r="I70" s="1" t="s">
        <v>57</v>
      </c>
      <c r="J70" s="1" t="s">
        <v>62</v>
      </c>
      <c r="K70" s="1" t="s">
        <v>33</v>
      </c>
      <c r="L70" s="1">
        <v>6</v>
      </c>
      <c r="M70" s="1">
        <v>1836.98</v>
      </c>
      <c r="N70" s="1">
        <v>5</v>
      </c>
      <c r="O70" s="1">
        <v>10470.790000000001</v>
      </c>
      <c r="P70" s="9">
        <f t="shared" si="1"/>
        <v>11021.880000000001</v>
      </c>
      <c r="Q70" s="1"/>
      <c r="R70" s="11"/>
      <c r="S70" s="1"/>
      <c r="T70" s="1"/>
      <c r="U70" s="1"/>
      <c r="AB70" s="5">
        <v>10469</v>
      </c>
      <c r="AC70" s="1">
        <v>1476</v>
      </c>
      <c r="AD70" s="2">
        <v>45050</v>
      </c>
      <c r="AE70" s="2">
        <v>45052</v>
      </c>
      <c r="AF70" s="1" t="s">
        <v>15</v>
      </c>
      <c r="AG70" s="1" t="s">
        <v>41</v>
      </c>
      <c r="AH70" s="1" t="s">
        <v>30</v>
      </c>
      <c r="AI70" s="1" t="s">
        <v>18</v>
      </c>
      <c r="AJ70" s="1" t="s">
        <v>31</v>
      </c>
      <c r="AK70" s="1" t="s">
        <v>48</v>
      </c>
      <c r="AL70" s="1" t="s">
        <v>45</v>
      </c>
      <c r="AM70" s="1">
        <v>5</v>
      </c>
      <c r="AN70" s="1">
        <v>3945.35</v>
      </c>
      <c r="AO70" s="1">
        <v>5</v>
      </c>
      <c r="AP70" s="1">
        <v>18740.41</v>
      </c>
      <c r="AQ70" s="9">
        <v>19726.75</v>
      </c>
      <c r="AR70" s="1">
        <v>986.33750000000009</v>
      </c>
      <c r="AS70" s="11">
        <v>18740.412499999999</v>
      </c>
      <c r="AT70" s="1" t="s">
        <v>168</v>
      </c>
      <c r="AU70" s="1" t="e">
        <v>#NAME?</v>
      </c>
      <c r="AV70" s="1" t="s">
        <v>169</v>
      </c>
    </row>
    <row r="71" spans="1:48" x14ac:dyDescent="0.3">
      <c r="A71" s="5">
        <v>10070</v>
      </c>
      <c r="B71" s="1">
        <v>1241</v>
      </c>
      <c r="C71" s="2">
        <v>45112</v>
      </c>
      <c r="D71" s="2">
        <v>45113</v>
      </c>
      <c r="E71" s="1" t="s">
        <v>46</v>
      </c>
      <c r="F71" s="1" t="s">
        <v>41</v>
      </c>
      <c r="G71" s="1" t="s">
        <v>17</v>
      </c>
      <c r="H71" s="1" t="s">
        <v>35</v>
      </c>
      <c r="I71" s="1" t="s">
        <v>31</v>
      </c>
      <c r="J71" s="1" t="s">
        <v>39</v>
      </c>
      <c r="K71" s="1" t="s">
        <v>33</v>
      </c>
      <c r="L71" s="1">
        <v>4</v>
      </c>
      <c r="M71" s="1">
        <v>3612.15</v>
      </c>
      <c r="N71" s="1">
        <v>20</v>
      </c>
      <c r="O71" s="1">
        <v>11558.88</v>
      </c>
      <c r="P71" s="9">
        <f t="shared" si="1"/>
        <v>14448.6</v>
      </c>
      <c r="Q71" s="1"/>
      <c r="R71" s="11"/>
      <c r="S71" s="1"/>
      <c r="T71" s="1"/>
      <c r="U71" s="1"/>
      <c r="AB71" s="5">
        <v>10472</v>
      </c>
      <c r="AC71" s="1">
        <v>1517</v>
      </c>
      <c r="AD71" s="2">
        <v>45269</v>
      </c>
      <c r="AE71" s="2">
        <v>45278</v>
      </c>
      <c r="AF71" s="1" t="s">
        <v>15</v>
      </c>
      <c r="AG71" s="1" t="s">
        <v>54</v>
      </c>
      <c r="AH71" s="1" t="s">
        <v>30</v>
      </c>
      <c r="AI71" s="1" t="s">
        <v>35</v>
      </c>
      <c r="AJ71" s="1" t="s">
        <v>31</v>
      </c>
      <c r="AK71" s="1" t="s">
        <v>48</v>
      </c>
      <c r="AL71" s="1" t="s">
        <v>28</v>
      </c>
      <c r="AM71" s="1">
        <v>5</v>
      </c>
      <c r="AN71" s="1">
        <v>2523.25</v>
      </c>
      <c r="AO71" s="1">
        <v>10</v>
      </c>
      <c r="AP71" s="1">
        <v>11354.63</v>
      </c>
      <c r="AQ71" s="9">
        <v>12616.25</v>
      </c>
      <c r="AR71" s="1">
        <v>1261.625</v>
      </c>
      <c r="AS71" s="11">
        <v>11354.625</v>
      </c>
      <c r="AT71" s="1" t="s">
        <v>168</v>
      </c>
      <c r="AU71" s="1" t="e">
        <v>#NAME?</v>
      </c>
      <c r="AV71" s="1" t="s">
        <v>169</v>
      </c>
    </row>
    <row r="72" spans="1:48" x14ac:dyDescent="0.3">
      <c r="A72" s="5">
        <v>10071</v>
      </c>
      <c r="B72" s="1">
        <v>1776</v>
      </c>
      <c r="C72" s="2">
        <v>45070</v>
      </c>
      <c r="D72" s="2">
        <v>45078</v>
      </c>
      <c r="E72" s="1" t="s">
        <v>15</v>
      </c>
      <c r="F72" s="1" t="s">
        <v>29</v>
      </c>
      <c r="G72" s="1" t="s">
        <v>17</v>
      </c>
      <c r="H72" s="1" t="s">
        <v>18</v>
      </c>
      <c r="I72" s="1" t="s">
        <v>26</v>
      </c>
      <c r="J72" s="1" t="s">
        <v>61</v>
      </c>
      <c r="K72" s="1" t="s">
        <v>47</v>
      </c>
      <c r="L72" s="1">
        <v>3</v>
      </c>
      <c r="M72" s="1">
        <v>3854.71</v>
      </c>
      <c r="N72" s="1">
        <v>5</v>
      </c>
      <c r="O72" s="1">
        <v>10985.92</v>
      </c>
      <c r="P72" s="9">
        <f t="shared" si="1"/>
        <v>11564.130000000001</v>
      </c>
      <c r="Q72" s="1"/>
      <c r="R72" s="11"/>
      <c r="S72" s="1"/>
      <c r="T72" s="1"/>
      <c r="U72" s="1"/>
      <c r="AB72" s="5">
        <v>10490</v>
      </c>
      <c r="AC72" s="1">
        <v>1927</v>
      </c>
      <c r="AD72" s="2">
        <v>45259</v>
      </c>
      <c r="AE72" s="2">
        <v>45261</v>
      </c>
      <c r="AF72" s="1" t="s">
        <v>15</v>
      </c>
      <c r="AG72" s="1" t="s">
        <v>29</v>
      </c>
      <c r="AH72" s="1" t="s">
        <v>17</v>
      </c>
      <c r="AI72" s="1" t="s">
        <v>35</v>
      </c>
      <c r="AJ72" s="1" t="s">
        <v>31</v>
      </c>
      <c r="AK72" s="1" t="s">
        <v>32</v>
      </c>
      <c r="AL72" s="1" t="s">
        <v>45</v>
      </c>
      <c r="AM72" s="1">
        <v>7</v>
      </c>
      <c r="AN72" s="1">
        <v>2838.06</v>
      </c>
      <c r="AO72" s="1">
        <v>20</v>
      </c>
      <c r="AP72" s="1">
        <v>15893.14</v>
      </c>
      <c r="AQ72" s="9">
        <v>19866.419999999998</v>
      </c>
      <c r="AR72" s="1">
        <v>3973.2839999999997</v>
      </c>
      <c r="AS72" s="11">
        <v>15893.135999999999</v>
      </c>
      <c r="AT72" s="1" t="s">
        <v>168</v>
      </c>
      <c r="AU72" s="1" t="e">
        <v>#NAME?</v>
      </c>
      <c r="AV72" s="1" t="s">
        <v>168</v>
      </c>
    </row>
    <row r="73" spans="1:48" x14ac:dyDescent="0.3">
      <c r="A73" s="5">
        <v>10072</v>
      </c>
      <c r="B73" s="1">
        <v>1345</v>
      </c>
      <c r="C73" s="2">
        <v>44998</v>
      </c>
      <c r="D73" s="2">
        <v>45005</v>
      </c>
      <c r="E73" s="1" t="s">
        <v>16</v>
      </c>
      <c r="F73" s="1" t="s">
        <v>54</v>
      </c>
      <c r="G73" s="1" t="s">
        <v>17</v>
      </c>
      <c r="H73" s="1" t="s">
        <v>18</v>
      </c>
      <c r="I73" s="1" t="s">
        <v>19</v>
      </c>
      <c r="J73" s="1" t="s">
        <v>55</v>
      </c>
      <c r="K73" s="1" t="s">
        <v>47</v>
      </c>
      <c r="L73" s="1">
        <v>3</v>
      </c>
      <c r="M73" s="1">
        <v>1859.84</v>
      </c>
      <c r="N73" s="1">
        <v>15</v>
      </c>
      <c r="O73" s="1">
        <v>4742.59</v>
      </c>
      <c r="P73" s="9">
        <f t="shared" si="1"/>
        <v>5579.5199999999995</v>
      </c>
      <c r="Q73" s="1"/>
      <c r="R73" s="11"/>
      <c r="S73" s="1"/>
      <c r="T73" s="1"/>
      <c r="U73" s="1"/>
      <c r="AB73" s="5">
        <v>10495</v>
      </c>
      <c r="AC73" s="1">
        <v>1127</v>
      </c>
      <c r="AD73" s="2">
        <v>45060</v>
      </c>
      <c r="AE73" s="2">
        <v>45063</v>
      </c>
      <c r="AF73" s="1" t="s">
        <v>15</v>
      </c>
      <c r="AG73" s="1" t="s">
        <v>23</v>
      </c>
      <c r="AH73" s="1" t="s">
        <v>30</v>
      </c>
      <c r="AI73" s="1" t="s">
        <v>25</v>
      </c>
      <c r="AJ73" s="1" t="s">
        <v>57</v>
      </c>
      <c r="AK73" s="1" t="s">
        <v>59</v>
      </c>
      <c r="AL73" s="1" t="s">
        <v>45</v>
      </c>
      <c r="AM73" s="1">
        <v>8</v>
      </c>
      <c r="AN73" s="1">
        <v>598.44000000000005</v>
      </c>
      <c r="AO73" s="1">
        <v>0</v>
      </c>
      <c r="AP73" s="1">
        <v>4787.5200000000004</v>
      </c>
      <c r="AQ73" s="9">
        <v>4787.5200000000004</v>
      </c>
      <c r="AR73" s="1">
        <v>0</v>
      </c>
      <c r="AS73" s="11">
        <v>4787.5200000000004</v>
      </c>
      <c r="AT73" s="1" t="s">
        <v>168</v>
      </c>
      <c r="AU73" s="1" t="e">
        <v>#NAME?</v>
      </c>
      <c r="AV73" s="1" t="s">
        <v>168</v>
      </c>
    </row>
    <row r="74" spans="1:48" x14ac:dyDescent="0.3">
      <c r="A74" s="5">
        <v>10073</v>
      </c>
      <c r="B74" s="1">
        <v>1564</v>
      </c>
      <c r="C74" s="2">
        <v>45055</v>
      </c>
      <c r="D74" s="2">
        <v>45063</v>
      </c>
      <c r="E74" s="1" t="s">
        <v>40</v>
      </c>
      <c r="F74" s="1" t="s">
        <v>16</v>
      </c>
      <c r="G74" s="1" t="s">
        <v>17</v>
      </c>
      <c r="H74" s="1" t="s">
        <v>25</v>
      </c>
      <c r="I74" s="1" t="s">
        <v>49</v>
      </c>
      <c r="J74" s="1" t="s">
        <v>68</v>
      </c>
      <c r="K74" s="1" t="s">
        <v>21</v>
      </c>
      <c r="L74" s="1">
        <v>1</v>
      </c>
      <c r="M74" s="1">
        <v>3037.61</v>
      </c>
      <c r="N74" s="1">
        <v>5</v>
      </c>
      <c r="O74" s="1">
        <v>2885.73</v>
      </c>
      <c r="P74" s="9">
        <f t="shared" si="1"/>
        <v>3037.61</v>
      </c>
      <c r="Q74" s="1"/>
      <c r="R74" s="11"/>
      <c r="S74" s="1"/>
      <c r="T74" s="1"/>
      <c r="U74" s="1"/>
      <c r="AB74" s="5">
        <v>10496</v>
      </c>
      <c r="AC74" s="1">
        <v>1017</v>
      </c>
      <c r="AD74" s="2">
        <v>45177</v>
      </c>
      <c r="AE74" s="2">
        <v>45178</v>
      </c>
      <c r="AF74" s="1" t="s">
        <v>15</v>
      </c>
      <c r="AG74" s="1" t="s">
        <v>23</v>
      </c>
      <c r="AH74" s="1" t="s">
        <v>17</v>
      </c>
      <c r="AI74" s="1" t="s">
        <v>42</v>
      </c>
      <c r="AJ74" s="1" t="s">
        <v>52</v>
      </c>
      <c r="AK74" s="1" t="s">
        <v>60</v>
      </c>
      <c r="AL74" s="1" t="s">
        <v>45</v>
      </c>
      <c r="AM74" s="1">
        <v>6</v>
      </c>
      <c r="AN74" s="1">
        <v>1128.9100000000001</v>
      </c>
      <c r="AO74" s="1">
        <v>20</v>
      </c>
      <c r="AP74" s="1">
        <v>5418.77</v>
      </c>
      <c r="AQ74" s="9">
        <v>6773.4600000000009</v>
      </c>
      <c r="AR74" s="1">
        <v>1354.6920000000002</v>
      </c>
      <c r="AS74" s="11">
        <v>5418.7680000000009</v>
      </c>
      <c r="AT74" s="1" t="s">
        <v>168</v>
      </c>
      <c r="AU74" s="1" t="e">
        <v>#NAME?</v>
      </c>
      <c r="AV74" s="1" t="s">
        <v>168</v>
      </c>
    </row>
    <row r="75" spans="1:48" x14ac:dyDescent="0.3">
      <c r="A75" s="5">
        <v>10074</v>
      </c>
      <c r="B75" s="1">
        <v>1897</v>
      </c>
      <c r="C75" s="2">
        <v>45290</v>
      </c>
      <c r="D75" s="2">
        <v>45296</v>
      </c>
      <c r="E75" s="1" t="s">
        <v>16</v>
      </c>
      <c r="F75" s="1" t="s">
        <v>54</v>
      </c>
      <c r="G75" s="1" t="s">
        <v>30</v>
      </c>
      <c r="H75" s="1" t="s">
        <v>35</v>
      </c>
      <c r="I75" s="1" t="s">
        <v>19</v>
      </c>
      <c r="J75" s="1" t="s">
        <v>43</v>
      </c>
      <c r="K75" s="1" t="s">
        <v>33</v>
      </c>
      <c r="L75" s="1">
        <v>3</v>
      </c>
      <c r="M75" s="1">
        <v>2196.89</v>
      </c>
      <c r="N75" s="1">
        <v>0</v>
      </c>
      <c r="O75" s="1">
        <v>6590.67</v>
      </c>
      <c r="P75" s="9">
        <f t="shared" si="1"/>
        <v>6590.67</v>
      </c>
      <c r="Q75" s="1"/>
      <c r="R75" s="11"/>
      <c r="S75" s="1"/>
      <c r="T75" s="1"/>
      <c r="U75" s="1"/>
      <c r="AB75" s="5">
        <v>10500</v>
      </c>
      <c r="AC75" s="1">
        <v>1569</v>
      </c>
      <c r="AD75" s="2">
        <v>44972</v>
      </c>
      <c r="AE75" s="2">
        <v>44977</v>
      </c>
      <c r="AF75" s="1" t="s">
        <v>15</v>
      </c>
      <c r="AG75" s="1" t="s">
        <v>16</v>
      </c>
      <c r="AH75" s="1" t="s">
        <v>30</v>
      </c>
      <c r="AI75" s="1" t="s">
        <v>42</v>
      </c>
      <c r="AJ75" s="1" t="s">
        <v>31</v>
      </c>
      <c r="AK75" s="1" t="s">
        <v>65</v>
      </c>
      <c r="AL75" s="1" t="s">
        <v>33</v>
      </c>
      <c r="AM75" s="1">
        <v>1</v>
      </c>
      <c r="AN75" s="1">
        <v>2432.17</v>
      </c>
      <c r="AO75" s="1">
        <v>20</v>
      </c>
      <c r="AP75" s="1">
        <v>1945.74</v>
      </c>
      <c r="AQ75" s="9">
        <v>2432.17</v>
      </c>
      <c r="AR75" s="1">
        <v>486.43400000000003</v>
      </c>
      <c r="AS75" s="11">
        <v>1945.7360000000001</v>
      </c>
      <c r="AT75" s="1" t="s">
        <v>170</v>
      </c>
      <c r="AU75" s="1" t="e">
        <v>#NAME?</v>
      </c>
      <c r="AV75" s="1" t="s">
        <v>170</v>
      </c>
    </row>
    <row r="76" spans="1:48" x14ac:dyDescent="0.3">
      <c r="A76" s="5">
        <v>10075</v>
      </c>
      <c r="B76" s="1">
        <v>1339</v>
      </c>
      <c r="C76" s="2">
        <v>45187</v>
      </c>
      <c r="D76" s="2">
        <v>45196</v>
      </c>
      <c r="E76" s="1" t="s">
        <v>40</v>
      </c>
      <c r="F76" s="1" t="s">
        <v>16</v>
      </c>
      <c r="G76" s="1" t="s">
        <v>30</v>
      </c>
      <c r="H76" s="1" t="s">
        <v>42</v>
      </c>
      <c r="I76" s="1" t="s">
        <v>57</v>
      </c>
      <c r="J76" s="1" t="s">
        <v>58</v>
      </c>
      <c r="K76" s="1" t="s">
        <v>45</v>
      </c>
      <c r="L76" s="1">
        <v>4</v>
      </c>
      <c r="M76" s="1">
        <v>2220.46</v>
      </c>
      <c r="N76" s="1">
        <v>0</v>
      </c>
      <c r="O76" s="1">
        <v>8881.84</v>
      </c>
      <c r="P76" s="9">
        <f t="shared" si="1"/>
        <v>8881.84</v>
      </c>
      <c r="Q76" s="1"/>
      <c r="R76" s="11"/>
      <c r="S76" s="1"/>
      <c r="T76" s="1"/>
      <c r="U76" s="1"/>
    </row>
    <row r="77" spans="1:48" x14ac:dyDescent="0.3">
      <c r="A77" s="5">
        <v>10076</v>
      </c>
      <c r="B77" s="1">
        <v>1091</v>
      </c>
      <c r="C77" s="2">
        <v>44929</v>
      </c>
      <c r="D77" s="2">
        <v>44932</v>
      </c>
      <c r="E77" s="1" t="s">
        <v>22</v>
      </c>
      <c r="F77" s="1" t="s">
        <v>16</v>
      </c>
      <c r="G77" s="1" t="s">
        <v>30</v>
      </c>
      <c r="H77" s="1" t="s">
        <v>35</v>
      </c>
      <c r="I77" s="1" t="s">
        <v>31</v>
      </c>
      <c r="J77" s="1" t="s">
        <v>39</v>
      </c>
      <c r="K77" s="1" t="s">
        <v>33</v>
      </c>
      <c r="L77" s="1">
        <v>5</v>
      </c>
      <c r="M77" s="1">
        <v>1220.68</v>
      </c>
      <c r="N77" s="1">
        <v>20</v>
      </c>
      <c r="O77" s="1">
        <v>4882.72</v>
      </c>
      <c r="P77" s="9">
        <f t="shared" si="1"/>
        <v>6103.4000000000005</v>
      </c>
      <c r="Q77" s="1"/>
      <c r="R77" s="11"/>
      <c r="S77" s="1"/>
      <c r="T77" s="1"/>
      <c r="U77" s="1"/>
    </row>
    <row r="78" spans="1:48" x14ac:dyDescent="0.3">
      <c r="A78" s="5">
        <v>10077</v>
      </c>
      <c r="B78" s="1">
        <v>1366</v>
      </c>
      <c r="C78" s="2">
        <v>45030</v>
      </c>
      <c r="D78" s="2">
        <v>45034</v>
      </c>
      <c r="E78" s="1" t="s">
        <v>22</v>
      </c>
      <c r="F78" s="1" t="s">
        <v>54</v>
      </c>
      <c r="G78" s="1" t="s">
        <v>30</v>
      </c>
      <c r="H78" s="1" t="s">
        <v>25</v>
      </c>
      <c r="I78" s="1" t="s">
        <v>31</v>
      </c>
      <c r="J78" s="1" t="s">
        <v>32</v>
      </c>
      <c r="K78" s="1" t="s">
        <v>45</v>
      </c>
      <c r="L78" s="1">
        <v>3</v>
      </c>
      <c r="M78" s="1">
        <v>985.28</v>
      </c>
      <c r="N78" s="1">
        <v>10</v>
      </c>
      <c r="O78" s="1">
        <v>2660.26</v>
      </c>
      <c r="P78" s="9">
        <f t="shared" si="1"/>
        <v>2955.84</v>
      </c>
      <c r="Q78" s="1"/>
      <c r="R78" s="11"/>
      <c r="S78" s="1"/>
      <c r="T78" s="1"/>
      <c r="U78" s="1"/>
    </row>
    <row r="79" spans="1:48" x14ac:dyDescent="0.3">
      <c r="A79" s="5">
        <v>10078</v>
      </c>
      <c r="B79" s="1">
        <v>1955</v>
      </c>
      <c r="C79" s="2">
        <v>45150</v>
      </c>
      <c r="D79" s="2">
        <v>45156</v>
      </c>
      <c r="E79" s="1" t="s">
        <v>40</v>
      </c>
      <c r="F79" s="1" t="s">
        <v>23</v>
      </c>
      <c r="G79" s="1" t="s">
        <v>24</v>
      </c>
      <c r="H79" s="1" t="s">
        <v>35</v>
      </c>
      <c r="I79" s="1" t="s">
        <v>52</v>
      </c>
      <c r="J79" s="1" t="s">
        <v>60</v>
      </c>
      <c r="K79" s="1" t="s">
        <v>28</v>
      </c>
      <c r="L79" s="1">
        <v>6</v>
      </c>
      <c r="M79" s="1">
        <v>1258.82</v>
      </c>
      <c r="N79" s="1">
        <v>15</v>
      </c>
      <c r="O79" s="1">
        <v>6419.98</v>
      </c>
      <c r="P79" s="9">
        <f t="shared" si="1"/>
        <v>7552.92</v>
      </c>
      <c r="Q79" s="1"/>
      <c r="R79" s="11"/>
      <c r="S79" s="1"/>
      <c r="T79" s="1"/>
      <c r="U79" s="1"/>
    </row>
    <row r="80" spans="1:48" x14ac:dyDescent="0.3">
      <c r="A80" s="5">
        <v>10079</v>
      </c>
      <c r="B80" s="1">
        <v>1454</v>
      </c>
      <c r="C80" s="2">
        <v>45246</v>
      </c>
      <c r="D80" s="2">
        <v>45254</v>
      </c>
      <c r="E80" s="1" t="s">
        <v>34</v>
      </c>
      <c r="F80" s="1" t="s">
        <v>16</v>
      </c>
      <c r="G80" s="1" t="s">
        <v>30</v>
      </c>
      <c r="H80" s="1" t="s">
        <v>35</v>
      </c>
      <c r="I80" s="1" t="s">
        <v>31</v>
      </c>
      <c r="J80" s="1" t="s">
        <v>32</v>
      </c>
      <c r="K80" s="1" t="s">
        <v>33</v>
      </c>
      <c r="L80" s="1">
        <v>5</v>
      </c>
      <c r="M80" s="1">
        <v>2291.86</v>
      </c>
      <c r="N80" s="1">
        <v>15</v>
      </c>
      <c r="O80" s="1">
        <v>9740.4</v>
      </c>
      <c r="P80" s="9">
        <f t="shared" si="1"/>
        <v>11459.300000000001</v>
      </c>
      <c r="Q80" s="1"/>
      <c r="R80" s="11"/>
      <c r="S80" s="1"/>
      <c r="T80" s="1"/>
      <c r="U80" s="1"/>
    </row>
    <row r="81" spans="1:21" x14ac:dyDescent="0.3">
      <c r="A81" s="5">
        <v>10080</v>
      </c>
      <c r="B81" s="1">
        <v>1427</v>
      </c>
      <c r="C81" s="2">
        <v>45288</v>
      </c>
      <c r="D81" s="2">
        <v>45293</v>
      </c>
      <c r="E81" s="1" t="s">
        <v>15</v>
      </c>
      <c r="F81" s="1" t="s">
        <v>54</v>
      </c>
      <c r="G81" s="1" t="s">
        <v>17</v>
      </c>
      <c r="H81" s="1" t="s">
        <v>25</v>
      </c>
      <c r="I81" s="1" t="s">
        <v>52</v>
      </c>
      <c r="J81" s="1" t="s">
        <v>56</v>
      </c>
      <c r="K81" s="1" t="s">
        <v>28</v>
      </c>
      <c r="L81" s="1">
        <v>3</v>
      </c>
      <c r="M81" s="1">
        <v>262.25</v>
      </c>
      <c r="N81" s="1">
        <v>10</v>
      </c>
      <c r="O81" s="1">
        <v>708.07</v>
      </c>
      <c r="P81" s="9">
        <f t="shared" si="1"/>
        <v>786.75</v>
      </c>
      <c r="Q81" s="1"/>
      <c r="R81" s="11"/>
      <c r="S81" s="1"/>
      <c r="T81" s="1"/>
      <c r="U81" s="1"/>
    </row>
    <row r="82" spans="1:21" x14ac:dyDescent="0.3">
      <c r="A82" s="5">
        <v>10081</v>
      </c>
      <c r="B82" s="1">
        <v>1508</v>
      </c>
      <c r="C82" s="2">
        <v>45280</v>
      </c>
      <c r="D82" s="2">
        <v>45283</v>
      </c>
      <c r="E82" s="1" t="s">
        <v>46</v>
      </c>
      <c r="F82" s="1" t="s">
        <v>16</v>
      </c>
      <c r="G82" s="1" t="s">
        <v>30</v>
      </c>
      <c r="H82" s="1" t="s">
        <v>18</v>
      </c>
      <c r="I82" s="1" t="s">
        <v>26</v>
      </c>
      <c r="J82" s="1" t="s">
        <v>27</v>
      </c>
      <c r="K82" s="1" t="s">
        <v>47</v>
      </c>
      <c r="L82" s="1">
        <v>6</v>
      </c>
      <c r="M82" s="1">
        <v>3642.91</v>
      </c>
      <c r="N82" s="1">
        <v>0</v>
      </c>
      <c r="O82" s="1">
        <v>21857.46</v>
      </c>
      <c r="P82" s="9">
        <f t="shared" si="1"/>
        <v>21857.46</v>
      </c>
      <c r="Q82" s="1"/>
      <c r="R82" s="11"/>
      <c r="S82" s="1"/>
      <c r="T82" s="1"/>
      <c r="U82" s="1"/>
    </row>
    <row r="83" spans="1:21" x14ac:dyDescent="0.3">
      <c r="A83" s="5">
        <v>10082</v>
      </c>
      <c r="B83" s="1">
        <v>1775</v>
      </c>
      <c r="C83" s="2">
        <v>44936</v>
      </c>
      <c r="D83" s="2">
        <v>44942</v>
      </c>
      <c r="E83" s="1" t="s">
        <v>46</v>
      </c>
      <c r="F83" s="1" t="s">
        <v>38</v>
      </c>
      <c r="G83" s="1" t="s">
        <v>24</v>
      </c>
      <c r="H83" s="1" t="s">
        <v>42</v>
      </c>
      <c r="I83" s="1" t="s">
        <v>49</v>
      </c>
      <c r="J83" s="1" t="s">
        <v>63</v>
      </c>
      <c r="K83" s="1" t="s">
        <v>47</v>
      </c>
      <c r="L83" s="1">
        <v>6</v>
      </c>
      <c r="M83" s="1">
        <v>751.69</v>
      </c>
      <c r="N83" s="1">
        <v>0</v>
      </c>
      <c r="O83" s="1">
        <v>4510.1400000000003</v>
      </c>
      <c r="P83" s="9">
        <f t="shared" si="1"/>
        <v>4510.1400000000003</v>
      </c>
      <c r="Q83" s="1"/>
      <c r="R83" s="11"/>
      <c r="S83" s="1"/>
      <c r="T83" s="1"/>
      <c r="U83" s="1"/>
    </row>
    <row r="84" spans="1:21" x14ac:dyDescent="0.3">
      <c r="A84" s="5">
        <v>10083</v>
      </c>
      <c r="B84" s="1">
        <v>1942</v>
      </c>
      <c r="C84" s="2">
        <v>45228</v>
      </c>
      <c r="D84" s="2">
        <v>45232</v>
      </c>
      <c r="E84" s="1" t="s">
        <v>37</v>
      </c>
      <c r="F84" s="1" t="s">
        <v>23</v>
      </c>
      <c r="G84" s="1" t="s">
        <v>17</v>
      </c>
      <c r="H84" s="1" t="s">
        <v>25</v>
      </c>
      <c r="I84" s="1" t="s">
        <v>57</v>
      </c>
      <c r="J84" s="1" t="s">
        <v>62</v>
      </c>
      <c r="K84" s="1" t="s">
        <v>21</v>
      </c>
      <c r="L84" s="1">
        <v>8</v>
      </c>
      <c r="M84" s="1">
        <v>997.34</v>
      </c>
      <c r="N84" s="1">
        <v>5</v>
      </c>
      <c r="O84" s="1">
        <v>7579.78</v>
      </c>
      <c r="P84" s="9">
        <f t="shared" si="1"/>
        <v>7978.72</v>
      </c>
      <c r="Q84" s="1"/>
      <c r="R84" s="11"/>
      <c r="S84" s="1"/>
      <c r="T84" s="1"/>
      <c r="U84" s="1"/>
    </row>
    <row r="85" spans="1:21" x14ac:dyDescent="0.3">
      <c r="A85" s="5">
        <v>10084</v>
      </c>
      <c r="B85" s="1">
        <v>1034</v>
      </c>
      <c r="C85" s="2">
        <v>45157</v>
      </c>
      <c r="D85" s="2">
        <v>45166</v>
      </c>
      <c r="E85" s="1" t="s">
        <v>40</v>
      </c>
      <c r="F85" s="1" t="s">
        <v>29</v>
      </c>
      <c r="G85" s="1" t="s">
        <v>30</v>
      </c>
      <c r="H85" s="1" t="s">
        <v>44</v>
      </c>
      <c r="I85" s="1" t="s">
        <v>52</v>
      </c>
      <c r="J85" s="1" t="s">
        <v>56</v>
      </c>
      <c r="K85" s="1" t="s">
        <v>33</v>
      </c>
      <c r="L85" s="1">
        <v>2</v>
      </c>
      <c r="M85" s="1">
        <v>2145.36</v>
      </c>
      <c r="N85" s="1">
        <v>20</v>
      </c>
      <c r="O85" s="1">
        <v>3432.58</v>
      </c>
      <c r="P85" s="9">
        <f t="shared" si="1"/>
        <v>4290.72</v>
      </c>
      <c r="Q85" s="1"/>
      <c r="R85" s="11"/>
      <c r="S85" s="1"/>
      <c r="T85" s="1"/>
      <c r="U85" s="1"/>
    </row>
    <row r="86" spans="1:21" x14ac:dyDescent="0.3">
      <c r="A86" s="5">
        <v>10085</v>
      </c>
      <c r="B86" s="1">
        <v>1205</v>
      </c>
      <c r="C86" s="2">
        <v>45145</v>
      </c>
      <c r="D86" s="2">
        <v>45148</v>
      </c>
      <c r="E86" s="1" t="s">
        <v>46</v>
      </c>
      <c r="F86" s="1" t="s">
        <v>16</v>
      </c>
      <c r="G86" s="1" t="s">
        <v>30</v>
      </c>
      <c r="H86" s="1" t="s">
        <v>18</v>
      </c>
      <c r="I86" s="1" t="s">
        <v>49</v>
      </c>
      <c r="J86" s="1" t="s">
        <v>50</v>
      </c>
      <c r="K86" s="1" t="s">
        <v>28</v>
      </c>
      <c r="L86" s="1">
        <v>1</v>
      </c>
      <c r="M86" s="1">
        <v>2883.94</v>
      </c>
      <c r="N86" s="1">
        <v>20</v>
      </c>
      <c r="O86" s="1">
        <v>2307.15</v>
      </c>
      <c r="P86" s="9">
        <f t="shared" si="1"/>
        <v>2883.94</v>
      </c>
      <c r="Q86" s="1"/>
      <c r="R86" s="11"/>
      <c r="S86" s="1"/>
      <c r="T86" s="1"/>
      <c r="U86" s="1"/>
    </row>
    <row r="87" spans="1:21" x14ac:dyDescent="0.3">
      <c r="A87" s="5">
        <v>10086</v>
      </c>
      <c r="B87" s="1">
        <v>1080</v>
      </c>
      <c r="C87" s="2">
        <v>44992</v>
      </c>
      <c r="D87" s="2">
        <v>44996</v>
      </c>
      <c r="E87" s="1" t="s">
        <v>34</v>
      </c>
      <c r="F87" s="1" t="s">
        <v>38</v>
      </c>
      <c r="G87" s="1" t="s">
        <v>30</v>
      </c>
      <c r="H87" s="1" t="s">
        <v>44</v>
      </c>
      <c r="I87" s="1" t="s">
        <v>31</v>
      </c>
      <c r="J87" s="1" t="s">
        <v>65</v>
      </c>
      <c r="K87" s="1" t="s">
        <v>45</v>
      </c>
      <c r="L87" s="1">
        <v>4</v>
      </c>
      <c r="M87" s="1">
        <v>518.55999999999995</v>
      </c>
      <c r="N87" s="1">
        <v>20</v>
      </c>
      <c r="O87" s="1">
        <v>1659.39</v>
      </c>
      <c r="P87" s="9">
        <f t="shared" si="1"/>
        <v>2074.2399999999998</v>
      </c>
      <c r="Q87" s="1"/>
      <c r="R87" s="11"/>
      <c r="S87" s="1"/>
      <c r="T87" s="1"/>
      <c r="U87" s="1"/>
    </row>
    <row r="88" spans="1:21" x14ac:dyDescent="0.3">
      <c r="A88" s="5">
        <v>10087</v>
      </c>
      <c r="B88" s="1">
        <v>1931</v>
      </c>
      <c r="C88" s="2">
        <v>45038</v>
      </c>
      <c r="D88" s="2">
        <v>45045</v>
      </c>
      <c r="E88" s="1" t="s">
        <v>40</v>
      </c>
      <c r="F88" s="1" t="s">
        <v>29</v>
      </c>
      <c r="G88" s="1" t="s">
        <v>17</v>
      </c>
      <c r="H88" s="1" t="s">
        <v>18</v>
      </c>
      <c r="I88" s="1" t="s">
        <v>31</v>
      </c>
      <c r="J88" s="1" t="s">
        <v>39</v>
      </c>
      <c r="K88" s="1" t="s">
        <v>47</v>
      </c>
      <c r="L88" s="1">
        <v>7</v>
      </c>
      <c r="M88" s="1">
        <v>1373.12</v>
      </c>
      <c r="N88" s="1">
        <v>5</v>
      </c>
      <c r="O88" s="1">
        <v>9131.25</v>
      </c>
      <c r="P88" s="9">
        <f t="shared" si="1"/>
        <v>9611.84</v>
      </c>
      <c r="Q88" s="1"/>
      <c r="R88" s="11"/>
      <c r="S88" s="1"/>
      <c r="T88" s="1"/>
      <c r="U88" s="1"/>
    </row>
    <row r="89" spans="1:21" x14ac:dyDescent="0.3">
      <c r="A89" s="5">
        <v>10088</v>
      </c>
      <c r="B89" s="1">
        <v>1561</v>
      </c>
      <c r="C89" s="2">
        <v>44939</v>
      </c>
      <c r="D89" s="2">
        <v>44946</v>
      </c>
      <c r="E89" s="1" t="s">
        <v>34</v>
      </c>
      <c r="F89" s="1" t="s">
        <v>29</v>
      </c>
      <c r="G89" s="1" t="s">
        <v>17</v>
      </c>
      <c r="H89" s="1" t="s">
        <v>42</v>
      </c>
      <c r="I89" s="1" t="s">
        <v>49</v>
      </c>
      <c r="J89" s="1" t="s">
        <v>63</v>
      </c>
      <c r="K89" s="1" t="s">
        <v>47</v>
      </c>
      <c r="L89" s="1">
        <v>3</v>
      </c>
      <c r="M89" s="1">
        <v>3879.4</v>
      </c>
      <c r="N89" s="1">
        <v>20</v>
      </c>
      <c r="O89" s="1">
        <v>9310.56</v>
      </c>
      <c r="P89" s="9">
        <f t="shared" si="1"/>
        <v>11638.2</v>
      </c>
      <c r="Q89" s="1"/>
      <c r="R89" s="11"/>
      <c r="S89" s="1"/>
      <c r="T89" s="1"/>
      <c r="U89" s="1"/>
    </row>
    <row r="90" spans="1:21" x14ac:dyDescent="0.3">
      <c r="A90" s="5">
        <v>10089</v>
      </c>
      <c r="B90" s="1">
        <v>1871</v>
      </c>
      <c r="C90" s="2">
        <v>45012</v>
      </c>
      <c r="D90" s="2">
        <v>45016</v>
      </c>
      <c r="E90" s="1" t="s">
        <v>46</v>
      </c>
      <c r="F90" s="1" t="s">
        <v>16</v>
      </c>
      <c r="G90" s="1" t="s">
        <v>24</v>
      </c>
      <c r="H90" s="1" t="s">
        <v>42</v>
      </c>
      <c r="I90" s="1" t="s">
        <v>31</v>
      </c>
      <c r="J90" s="1" t="s">
        <v>48</v>
      </c>
      <c r="K90" s="1" t="s">
        <v>45</v>
      </c>
      <c r="L90" s="1">
        <v>3</v>
      </c>
      <c r="M90" s="1">
        <v>1160.02</v>
      </c>
      <c r="N90" s="1">
        <v>10</v>
      </c>
      <c r="O90" s="1">
        <v>3132.05</v>
      </c>
      <c r="P90" s="9">
        <f t="shared" si="1"/>
        <v>3480.06</v>
      </c>
      <c r="Q90" s="1"/>
      <c r="R90" s="11"/>
      <c r="S90" s="1"/>
      <c r="T90" s="1"/>
      <c r="U90" s="1"/>
    </row>
    <row r="91" spans="1:21" x14ac:dyDescent="0.3">
      <c r="A91" s="5">
        <v>10090</v>
      </c>
      <c r="B91" s="1">
        <v>1387</v>
      </c>
      <c r="C91" s="2">
        <v>45160</v>
      </c>
      <c r="D91" s="2">
        <v>45166</v>
      </c>
      <c r="E91" s="1" t="s">
        <v>46</v>
      </c>
      <c r="F91" s="1" t="s">
        <v>54</v>
      </c>
      <c r="G91" s="1" t="s">
        <v>17</v>
      </c>
      <c r="H91" s="1" t="s">
        <v>35</v>
      </c>
      <c r="I91" s="1" t="s">
        <v>26</v>
      </c>
      <c r="J91" s="1" t="s">
        <v>27</v>
      </c>
      <c r="K91" s="1" t="s">
        <v>28</v>
      </c>
      <c r="L91" s="1">
        <v>5</v>
      </c>
      <c r="M91" s="1">
        <v>1355.24</v>
      </c>
      <c r="N91" s="1">
        <v>5</v>
      </c>
      <c r="O91" s="1">
        <v>6437.39</v>
      </c>
      <c r="P91" s="9">
        <f t="shared" si="1"/>
        <v>6776.2</v>
      </c>
      <c r="Q91" s="1"/>
      <c r="R91" s="11"/>
      <c r="S91" s="1"/>
      <c r="T91" s="1"/>
      <c r="U91" s="1"/>
    </row>
    <row r="92" spans="1:21" x14ac:dyDescent="0.3">
      <c r="A92" s="5">
        <v>10091</v>
      </c>
      <c r="B92" s="1">
        <v>1001</v>
      </c>
      <c r="C92" s="2">
        <v>45016</v>
      </c>
      <c r="D92" s="2">
        <v>45019</v>
      </c>
      <c r="E92" s="1" t="s">
        <v>37</v>
      </c>
      <c r="F92" s="1" t="s">
        <v>16</v>
      </c>
      <c r="G92" s="1" t="s">
        <v>17</v>
      </c>
      <c r="H92" s="1" t="s">
        <v>44</v>
      </c>
      <c r="I92" s="1" t="s">
        <v>26</v>
      </c>
      <c r="J92" s="1" t="s">
        <v>27</v>
      </c>
      <c r="K92" s="1" t="s">
        <v>28</v>
      </c>
      <c r="L92" s="1">
        <v>5</v>
      </c>
      <c r="M92" s="1">
        <v>3370.52</v>
      </c>
      <c r="N92" s="1">
        <v>10</v>
      </c>
      <c r="O92" s="1">
        <v>15167.34</v>
      </c>
      <c r="P92" s="9">
        <f t="shared" si="1"/>
        <v>16852.599999999999</v>
      </c>
      <c r="Q92" s="1"/>
      <c r="R92" s="11"/>
      <c r="S92" s="1"/>
      <c r="T92" s="1"/>
      <c r="U92" s="1"/>
    </row>
    <row r="93" spans="1:21" x14ac:dyDescent="0.3">
      <c r="A93" s="5">
        <v>10092</v>
      </c>
      <c r="B93" s="1">
        <v>1389</v>
      </c>
      <c r="C93" s="2">
        <v>45240</v>
      </c>
      <c r="D93" s="2">
        <v>45246</v>
      </c>
      <c r="E93" s="1" t="s">
        <v>46</v>
      </c>
      <c r="F93" s="1" t="s">
        <v>38</v>
      </c>
      <c r="G93" s="1" t="s">
        <v>30</v>
      </c>
      <c r="H93" s="1" t="s">
        <v>18</v>
      </c>
      <c r="I93" s="1" t="s">
        <v>49</v>
      </c>
      <c r="J93" s="1" t="s">
        <v>50</v>
      </c>
      <c r="K93" s="1" t="s">
        <v>33</v>
      </c>
      <c r="L93" s="1">
        <v>3</v>
      </c>
      <c r="M93" s="1">
        <v>343.33</v>
      </c>
      <c r="N93" s="1">
        <v>5</v>
      </c>
      <c r="O93" s="1">
        <v>978.49</v>
      </c>
      <c r="P93" s="9">
        <f t="shared" si="1"/>
        <v>1029.99</v>
      </c>
      <c r="Q93" s="1"/>
      <c r="R93" s="11"/>
      <c r="S93" s="1"/>
      <c r="T93" s="1"/>
      <c r="U93" s="1"/>
    </row>
    <row r="94" spans="1:21" x14ac:dyDescent="0.3">
      <c r="A94" s="5">
        <v>10093</v>
      </c>
      <c r="B94" s="1">
        <v>1565</v>
      </c>
      <c r="C94" s="2">
        <v>44980</v>
      </c>
      <c r="D94" s="2">
        <v>44982</v>
      </c>
      <c r="E94" s="1" t="s">
        <v>40</v>
      </c>
      <c r="F94" s="1" t="s">
        <v>29</v>
      </c>
      <c r="G94" s="1" t="s">
        <v>17</v>
      </c>
      <c r="H94" s="1" t="s">
        <v>42</v>
      </c>
      <c r="I94" s="1" t="s">
        <v>52</v>
      </c>
      <c r="J94" s="1" t="s">
        <v>56</v>
      </c>
      <c r="K94" s="1" t="s">
        <v>33</v>
      </c>
      <c r="L94" s="1">
        <v>9</v>
      </c>
      <c r="M94" s="1">
        <v>1938.76</v>
      </c>
      <c r="N94" s="1">
        <v>20</v>
      </c>
      <c r="O94" s="1">
        <v>13959.07</v>
      </c>
      <c r="P94" s="9">
        <f t="shared" si="1"/>
        <v>17448.84</v>
      </c>
      <c r="Q94" s="1"/>
      <c r="R94" s="11"/>
      <c r="S94" s="1"/>
      <c r="T94" s="1"/>
      <c r="U94" s="1"/>
    </row>
    <row r="95" spans="1:21" x14ac:dyDescent="0.3">
      <c r="A95" s="5">
        <v>10094</v>
      </c>
      <c r="B95" s="1">
        <v>1105</v>
      </c>
      <c r="C95" s="2">
        <v>44938</v>
      </c>
      <c r="D95" s="2">
        <v>44946</v>
      </c>
      <c r="E95" s="1" t="s">
        <v>22</v>
      </c>
      <c r="F95" s="1" t="s">
        <v>16</v>
      </c>
      <c r="G95" s="1" t="s">
        <v>30</v>
      </c>
      <c r="H95" s="1" t="s">
        <v>25</v>
      </c>
      <c r="I95" s="1" t="s">
        <v>52</v>
      </c>
      <c r="J95" s="1" t="s">
        <v>60</v>
      </c>
      <c r="K95" s="1" t="s">
        <v>21</v>
      </c>
      <c r="L95" s="1">
        <v>4</v>
      </c>
      <c r="M95" s="1">
        <v>1611.52</v>
      </c>
      <c r="N95" s="1">
        <v>10</v>
      </c>
      <c r="O95" s="1">
        <v>5801.47</v>
      </c>
      <c r="P95" s="9">
        <f t="shared" si="1"/>
        <v>6446.08</v>
      </c>
      <c r="Q95" s="1"/>
      <c r="R95" s="11"/>
      <c r="S95" s="1"/>
      <c r="T95" s="1"/>
      <c r="U95" s="1"/>
    </row>
    <row r="96" spans="1:21" x14ac:dyDescent="0.3">
      <c r="A96" s="5">
        <v>10095</v>
      </c>
      <c r="B96" s="1">
        <v>1771</v>
      </c>
      <c r="C96" s="2">
        <v>45135</v>
      </c>
      <c r="D96" s="2">
        <v>45137</v>
      </c>
      <c r="E96" s="1" t="s">
        <v>40</v>
      </c>
      <c r="F96" s="1" t="s">
        <v>54</v>
      </c>
      <c r="G96" s="1" t="s">
        <v>30</v>
      </c>
      <c r="H96" s="1" t="s">
        <v>42</v>
      </c>
      <c r="I96" s="1" t="s">
        <v>49</v>
      </c>
      <c r="J96" s="1" t="s">
        <v>50</v>
      </c>
      <c r="K96" s="1" t="s">
        <v>47</v>
      </c>
      <c r="L96" s="1">
        <v>3</v>
      </c>
      <c r="M96" s="1">
        <v>1368.86</v>
      </c>
      <c r="N96" s="1">
        <v>10</v>
      </c>
      <c r="O96" s="1">
        <v>3695.92</v>
      </c>
      <c r="P96" s="9">
        <f t="shared" si="1"/>
        <v>4106.58</v>
      </c>
      <c r="Q96" s="1"/>
      <c r="R96" s="11"/>
      <c r="S96" s="1"/>
      <c r="T96" s="1"/>
      <c r="U96" s="1"/>
    </row>
    <row r="97" spans="1:21" x14ac:dyDescent="0.3">
      <c r="A97" s="5">
        <v>10096</v>
      </c>
      <c r="B97" s="1">
        <v>1821</v>
      </c>
      <c r="C97" s="2">
        <v>44940</v>
      </c>
      <c r="D97" s="2">
        <v>44947</v>
      </c>
      <c r="E97" s="1" t="s">
        <v>40</v>
      </c>
      <c r="F97" s="1" t="s">
        <v>16</v>
      </c>
      <c r="G97" s="1" t="s">
        <v>17</v>
      </c>
      <c r="H97" s="1" t="s">
        <v>25</v>
      </c>
      <c r="I97" s="1" t="s">
        <v>52</v>
      </c>
      <c r="J97" s="1" t="s">
        <v>60</v>
      </c>
      <c r="K97" s="1" t="s">
        <v>33</v>
      </c>
      <c r="L97" s="1">
        <v>2</v>
      </c>
      <c r="M97" s="1">
        <v>1249.94</v>
      </c>
      <c r="N97" s="1">
        <v>10</v>
      </c>
      <c r="O97" s="1">
        <v>2249.89</v>
      </c>
      <c r="P97" s="9">
        <f t="shared" si="1"/>
        <v>2499.88</v>
      </c>
      <c r="Q97" s="1"/>
      <c r="R97" s="11"/>
      <c r="S97" s="1"/>
      <c r="T97" s="1"/>
      <c r="U97" s="1"/>
    </row>
    <row r="98" spans="1:21" x14ac:dyDescent="0.3">
      <c r="A98" s="5">
        <v>10097</v>
      </c>
      <c r="B98" s="1">
        <v>1476</v>
      </c>
      <c r="C98" s="2">
        <v>45047</v>
      </c>
      <c r="D98" s="2">
        <v>45056</v>
      </c>
      <c r="E98" s="1" t="s">
        <v>37</v>
      </c>
      <c r="F98" s="1" t="s">
        <v>23</v>
      </c>
      <c r="G98" s="1" t="s">
        <v>24</v>
      </c>
      <c r="H98" s="1" t="s">
        <v>18</v>
      </c>
      <c r="I98" s="1" t="s">
        <v>52</v>
      </c>
      <c r="J98" s="1" t="s">
        <v>60</v>
      </c>
      <c r="K98" s="1" t="s">
        <v>28</v>
      </c>
      <c r="L98" s="1">
        <v>9</v>
      </c>
      <c r="M98" s="1">
        <v>501.79</v>
      </c>
      <c r="N98" s="1">
        <v>5</v>
      </c>
      <c r="O98" s="1">
        <v>4290.3</v>
      </c>
      <c r="P98" s="9">
        <f t="shared" si="1"/>
        <v>4516.1100000000006</v>
      </c>
      <c r="Q98" s="1"/>
      <c r="R98" s="11"/>
      <c r="S98" s="1"/>
      <c r="T98" s="1"/>
      <c r="U98" s="1"/>
    </row>
    <row r="99" spans="1:21" x14ac:dyDescent="0.3">
      <c r="A99" s="5">
        <v>10098</v>
      </c>
      <c r="B99" s="1">
        <v>1702</v>
      </c>
      <c r="C99" s="2">
        <v>44946</v>
      </c>
      <c r="D99" s="2">
        <v>44947</v>
      </c>
      <c r="E99" s="1" t="s">
        <v>37</v>
      </c>
      <c r="F99" s="1" t="s">
        <v>54</v>
      </c>
      <c r="G99" s="1" t="s">
        <v>24</v>
      </c>
      <c r="H99" s="1" t="s">
        <v>42</v>
      </c>
      <c r="I99" s="1" t="s">
        <v>26</v>
      </c>
      <c r="J99" s="1" t="s">
        <v>36</v>
      </c>
      <c r="K99" s="1" t="s">
        <v>45</v>
      </c>
      <c r="L99" s="1">
        <v>4</v>
      </c>
      <c r="M99" s="1">
        <v>1362.08</v>
      </c>
      <c r="N99" s="1">
        <v>15</v>
      </c>
      <c r="O99" s="1">
        <v>4631.07</v>
      </c>
      <c r="P99" s="9">
        <f t="shared" si="1"/>
        <v>5448.32</v>
      </c>
      <c r="Q99" s="1"/>
      <c r="R99" s="11"/>
      <c r="S99" s="1"/>
      <c r="T99" s="1"/>
      <c r="U99" s="1"/>
    </row>
    <row r="100" spans="1:21" x14ac:dyDescent="0.3">
      <c r="A100" s="5">
        <v>10099</v>
      </c>
      <c r="B100" s="1">
        <v>1401</v>
      </c>
      <c r="C100" s="2">
        <v>45001</v>
      </c>
      <c r="D100" s="2">
        <v>45009</v>
      </c>
      <c r="E100" s="1" t="s">
        <v>46</v>
      </c>
      <c r="F100" s="1" t="s">
        <v>38</v>
      </c>
      <c r="G100" s="1" t="s">
        <v>17</v>
      </c>
      <c r="H100" s="1" t="s">
        <v>42</v>
      </c>
      <c r="I100" s="1" t="s">
        <v>52</v>
      </c>
      <c r="J100" s="1" t="s">
        <v>53</v>
      </c>
      <c r="K100" s="1" t="s">
        <v>28</v>
      </c>
      <c r="L100" s="1">
        <v>3</v>
      </c>
      <c r="M100" s="1">
        <v>315.75</v>
      </c>
      <c r="N100" s="1">
        <v>20</v>
      </c>
      <c r="O100" s="1">
        <v>757.8</v>
      </c>
      <c r="P100" s="9">
        <f t="shared" si="1"/>
        <v>947.25</v>
      </c>
      <c r="Q100" s="1"/>
      <c r="R100" s="11"/>
      <c r="S100" s="1"/>
      <c r="T100" s="1"/>
      <c r="U100" s="1"/>
    </row>
    <row r="101" spans="1:21" x14ac:dyDescent="0.3">
      <c r="A101" s="5">
        <v>10100</v>
      </c>
      <c r="B101" s="1">
        <v>1729</v>
      </c>
      <c r="C101" s="2">
        <v>45169</v>
      </c>
      <c r="D101" s="2">
        <v>45176</v>
      </c>
      <c r="E101" s="1" t="s">
        <v>16</v>
      </c>
      <c r="F101" s="1" t="s">
        <v>29</v>
      </c>
      <c r="G101" s="1" t="s">
        <v>24</v>
      </c>
      <c r="H101" s="1" t="s">
        <v>18</v>
      </c>
      <c r="I101" s="1" t="s">
        <v>19</v>
      </c>
      <c r="J101" s="1" t="s">
        <v>43</v>
      </c>
      <c r="K101" s="1" t="s">
        <v>47</v>
      </c>
      <c r="L101" s="1">
        <v>7</v>
      </c>
      <c r="M101" s="1">
        <v>3156.71</v>
      </c>
      <c r="N101" s="1">
        <v>10</v>
      </c>
      <c r="O101" s="1">
        <v>19887.27</v>
      </c>
      <c r="P101" s="9">
        <f t="shared" si="1"/>
        <v>22096.97</v>
      </c>
      <c r="Q101" s="1"/>
      <c r="R101" s="11"/>
      <c r="S101" s="1"/>
      <c r="T101" s="1"/>
      <c r="U101" s="1"/>
    </row>
    <row r="102" spans="1:21" x14ac:dyDescent="0.3">
      <c r="A102" s="5">
        <v>10101</v>
      </c>
      <c r="B102" s="1">
        <v>1555</v>
      </c>
      <c r="C102" s="2">
        <v>45149</v>
      </c>
      <c r="D102" s="2">
        <v>45155</v>
      </c>
      <c r="E102" s="1" t="s">
        <v>16</v>
      </c>
      <c r="F102" s="1" t="s">
        <v>16</v>
      </c>
      <c r="G102" s="1" t="s">
        <v>30</v>
      </c>
      <c r="H102" s="1" t="s">
        <v>42</v>
      </c>
      <c r="I102" s="1" t="s">
        <v>57</v>
      </c>
      <c r="J102" s="1" t="s">
        <v>59</v>
      </c>
      <c r="K102" s="1" t="s">
        <v>28</v>
      </c>
      <c r="L102" s="1">
        <v>8</v>
      </c>
      <c r="M102" s="1">
        <v>1683.18</v>
      </c>
      <c r="N102" s="1">
        <v>15</v>
      </c>
      <c r="O102" s="1">
        <v>11445.62</v>
      </c>
      <c r="P102" s="9">
        <f t="shared" si="1"/>
        <v>13465.44</v>
      </c>
      <c r="Q102" s="1"/>
      <c r="R102" s="11"/>
      <c r="S102" s="1"/>
      <c r="T102" s="1"/>
      <c r="U102" s="1"/>
    </row>
    <row r="103" spans="1:21" x14ac:dyDescent="0.3">
      <c r="A103" s="5">
        <v>10102</v>
      </c>
      <c r="B103" s="1">
        <v>1161</v>
      </c>
      <c r="C103" s="2">
        <v>44996</v>
      </c>
      <c r="D103" s="2">
        <v>45002</v>
      </c>
      <c r="E103" s="1" t="s">
        <v>37</v>
      </c>
      <c r="F103" s="1" t="s">
        <v>54</v>
      </c>
      <c r="G103" s="1" t="s">
        <v>30</v>
      </c>
      <c r="H103" s="1" t="s">
        <v>25</v>
      </c>
      <c r="I103" s="1" t="s">
        <v>31</v>
      </c>
      <c r="J103" s="1" t="s">
        <v>39</v>
      </c>
      <c r="K103" s="1" t="s">
        <v>21</v>
      </c>
      <c r="L103" s="1">
        <v>2</v>
      </c>
      <c r="M103" s="1">
        <v>1859.03</v>
      </c>
      <c r="N103" s="1">
        <v>20</v>
      </c>
      <c r="O103" s="1">
        <v>2974.45</v>
      </c>
      <c r="P103" s="9">
        <f t="shared" si="1"/>
        <v>3718.06</v>
      </c>
      <c r="Q103" s="1"/>
      <c r="R103" s="11"/>
      <c r="S103" s="1"/>
      <c r="T103" s="1"/>
      <c r="U103" s="1"/>
    </row>
    <row r="104" spans="1:21" x14ac:dyDescent="0.3">
      <c r="A104" s="5">
        <v>10103</v>
      </c>
      <c r="B104" s="1">
        <v>1201</v>
      </c>
      <c r="C104" s="2">
        <v>45238</v>
      </c>
      <c r="D104" s="2">
        <v>45244</v>
      </c>
      <c r="E104" s="1" t="s">
        <v>46</v>
      </c>
      <c r="F104" s="1" t="s">
        <v>23</v>
      </c>
      <c r="G104" s="1" t="s">
        <v>17</v>
      </c>
      <c r="H104" s="1" t="s">
        <v>42</v>
      </c>
      <c r="I104" s="1" t="s">
        <v>19</v>
      </c>
      <c r="J104" s="1" t="s">
        <v>20</v>
      </c>
      <c r="K104" s="1" t="s">
        <v>47</v>
      </c>
      <c r="L104" s="1">
        <v>7</v>
      </c>
      <c r="M104" s="1">
        <v>3590.34</v>
      </c>
      <c r="N104" s="1">
        <v>20</v>
      </c>
      <c r="O104" s="1">
        <v>20105.900000000001</v>
      </c>
      <c r="P104" s="9">
        <f t="shared" si="1"/>
        <v>25132.38</v>
      </c>
      <c r="Q104" s="1"/>
      <c r="R104" s="11"/>
      <c r="S104" s="1"/>
      <c r="T104" s="1"/>
      <c r="U104" s="1"/>
    </row>
    <row r="105" spans="1:21" x14ac:dyDescent="0.3">
      <c r="A105" s="5">
        <v>10104</v>
      </c>
      <c r="B105" s="1">
        <v>1957</v>
      </c>
      <c r="C105" s="2">
        <v>45137</v>
      </c>
      <c r="D105" s="2">
        <v>45146</v>
      </c>
      <c r="E105" s="1" t="s">
        <v>16</v>
      </c>
      <c r="F105" s="1" t="s">
        <v>54</v>
      </c>
      <c r="G105" s="1" t="s">
        <v>24</v>
      </c>
      <c r="H105" s="1" t="s">
        <v>44</v>
      </c>
      <c r="I105" s="1" t="s">
        <v>52</v>
      </c>
      <c r="J105" s="1" t="s">
        <v>53</v>
      </c>
      <c r="K105" s="1" t="s">
        <v>45</v>
      </c>
      <c r="L105" s="1">
        <v>5</v>
      </c>
      <c r="M105" s="1">
        <v>2683.51</v>
      </c>
      <c r="N105" s="1">
        <v>10</v>
      </c>
      <c r="O105" s="1">
        <v>12075.79</v>
      </c>
      <c r="P105" s="9">
        <f t="shared" si="1"/>
        <v>13417.550000000001</v>
      </c>
      <c r="Q105" s="1"/>
      <c r="R105" s="11"/>
      <c r="S105" s="1"/>
      <c r="T105" s="1"/>
      <c r="U105" s="1"/>
    </row>
    <row r="106" spans="1:21" x14ac:dyDescent="0.3">
      <c r="A106" s="5">
        <v>10105</v>
      </c>
      <c r="B106" s="1">
        <v>1995</v>
      </c>
      <c r="C106" s="2">
        <v>45027</v>
      </c>
      <c r="D106" s="2">
        <v>45029</v>
      </c>
      <c r="E106" s="1" t="s">
        <v>46</v>
      </c>
      <c r="F106" s="1" t="s">
        <v>41</v>
      </c>
      <c r="G106" s="1" t="s">
        <v>24</v>
      </c>
      <c r="H106" s="1" t="s">
        <v>35</v>
      </c>
      <c r="I106" s="1" t="s">
        <v>26</v>
      </c>
      <c r="J106" s="1" t="s">
        <v>27</v>
      </c>
      <c r="K106" s="1" t="s">
        <v>21</v>
      </c>
      <c r="L106" s="1">
        <v>5</v>
      </c>
      <c r="M106" s="1">
        <v>181.03</v>
      </c>
      <c r="N106" s="1">
        <v>10</v>
      </c>
      <c r="O106" s="1">
        <v>814.63</v>
      </c>
      <c r="P106" s="9">
        <f t="shared" si="1"/>
        <v>905.15</v>
      </c>
      <c r="Q106" s="1"/>
      <c r="R106" s="11"/>
      <c r="S106" s="1"/>
      <c r="T106" s="1"/>
      <c r="U106" s="1"/>
    </row>
    <row r="107" spans="1:21" x14ac:dyDescent="0.3">
      <c r="A107" s="5">
        <v>10106</v>
      </c>
      <c r="B107" s="1">
        <v>1269</v>
      </c>
      <c r="C107" s="2">
        <v>45112</v>
      </c>
      <c r="D107" s="2">
        <v>45113</v>
      </c>
      <c r="E107" s="1" t="s">
        <v>46</v>
      </c>
      <c r="F107" s="1" t="s">
        <v>23</v>
      </c>
      <c r="G107" s="1" t="s">
        <v>30</v>
      </c>
      <c r="H107" s="1" t="s">
        <v>25</v>
      </c>
      <c r="I107" s="1" t="s">
        <v>49</v>
      </c>
      <c r="J107" s="1" t="s">
        <v>63</v>
      </c>
      <c r="K107" s="1" t="s">
        <v>47</v>
      </c>
      <c r="L107" s="1">
        <v>3</v>
      </c>
      <c r="M107" s="1">
        <v>3781.22</v>
      </c>
      <c r="N107" s="1">
        <v>5</v>
      </c>
      <c r="O107" s="1">
        <v>10776.48</v>
      </c>
      <c r="P107" s="9">
        <f t="shared" si="1"/>
        <v>11343.66</v>
      </c>
      <c r="Q107" s="1"/>
      <c r="R107" s="11"/>
      <c r="S107" s="1"/>
      <c r="T107" s="1"/>
      <c r="U107" s="1"/>
    </row>
    <row r="108" spans="1:21" x14ac:dyDescent="0.3">
      <c r="A108" s="5">
        <v>10107</v>
      </c>
      <c r="B108" s="1">
        <v>1862</v>
      </c>
      <c r="C108" s="2">
        <v>45058</v>
      </c>
      <c r="D108" s="2">
        <v>45064</v>
      </c>
      <c r="E108" s="1" t="s">
        <v>46</v>
      </c>
      <c r="F108" s="1" t="s">
        <v>38</v>
      </c>
      <c r="G108" s="1" t="s">
        <v>17</v>
      </c>
      <c r="H108" s="1" t="s">
        <v>44</v>
      </c>
      <c r="I108" s="1" t="s">
        <v>52</v>
      </c>
      <c r="J108" s="1" t="s">
        <v>60</v>
      </c>
      <c r="K108" s="1" t="s">
        <v>45</v>
      </c>
      <c r="L108" s="1">
        <v>5</v>
      </c>
      <c r="M108" s="1">
        <v>1063.01</v>
      </c>
      <c r="N108" s="1">
        <v>15</v>
      </c>
      <c r="O108" s="1">
        <v>4517.79</v>
      </c>
      <c r="P108" s="9">
        <f t="shared" si="1"/>
        <v>5315.05</v>
      </c>
      <c r="Q108" s="1"/>
      <c r="R108" s="11"/>
      <c r="S108" s="1"/>
      <c r="T108" s="1"/>
      <c r="U108" s="1"/>
    </row>
    <row r="109" spans="1:21" x14ac:dyDescent="0.3">
      <c r="A109" s="5">
        <v>10108</v>
      </c>
      <c r="B109" s="1">
        <v>1815</v>
      </c>
      <c r="C109" s="2">
        <v>45037</v>
      </c>
      <c r="D109" s="2">
        <v>45045</v>
      </c>
      <c r="E109" s="1" t="s">
        <v>15</v>
      </c>
      <c r="F109" s="1" t="s">
        <v>29</v>
      </c>
      <c r="G109" s="1" t="s">
        <v>24</v>
      </c>
      <c r="H109" s="1" t="s">
        <v>18</v>
      </c>
      <c r="I109" s="1" t="s">
        <v>26</v>
      </c>
      <c r="J109" s="1" t="s">
        <v>36</v>
      </c>
      <c r="K109" s="1" t="s">
        <v>21</v>
      </c>
      <c r="L109" s="1">
        <v>2</v>
      </c>
      <c r="M109" s="1">
        <v>564.30999999999995</v>
      </c>
      <c r="N109" s="1">
        <v>15</v>
      </c>
      <c r="O109" s="1">
        <v>959.33</v>
      </c>
      <c r="P109" s="9">
        <f t="shared" si="1"/>
        <v>1128.6199999999999</v>
      </c>
      <c r="Q109" s="1"/>
      <c r="R109" s="11"/>
      <c r="S109" s="1"/>
      <c r="T109" s="1"/>
      <c r="U109" s="1"/>
    </row>
    <row r="110" spans="1:21" x14ac:dyDescent="0.3">
      <c r="A110" s="5">
        <v>10109</v>
      </c>
      <c r="B110" s="1">
        <v>1270</v>
      </c>
      <c r="C110" s="2">
        <v>45058</v>
      </c>
      <c r="D110" s="2">
        <v>45061</v>
      </c>
      <c r="E110" s="1" t="s">
        <v>40</v>
      </c>
      <c r="F110" s="1" t="s">
        <v>38</v>
      </c>
      <c r="G110" s="1" t="s">
        <v>17</v>
      </c>
      <c r="H110" s="1" t="s">
        <v>25</v>
      </c>
      <c r="I110" s="1" t="s">
        <v>57</v>
      </c>
      <c r="J110" s="1" t="s">
        <v>59</v>
      </c>
      <c r="K110" s="1" t="s">
        <v>21</v>
      </c>
      <c r="L110" s="1">
        <v>4</v>
      </c>
      <c r="M110" s="1">
        <v>3107.29</v>
      </c>
      <c r="N110" s="1">
        <v>10</v>
      </c>
      <c r="O110" s="1">
        <v>11186.24</v>
      </c>
      <c r="P110" s="9">
        <f t="shared" si="1"/>
        <v>12429.16</v>
      </c>
      <c r="Q110" s="1"/>
      <c r="R110" s="11"/>
      <c r="S110" s="1"/>
      <c r="T110" s="1"/>
      <c r="U110" s="1"/>
    </row>
    <row r="111" spans="1:21" x14ac:dyDescent="0.3">
      <c r="A111" s="5">
        <v>10110</v>
      </c>
      <c r="B111" s="1">
        <v>1455</v>
      </c>
      <c r="C111" s="2">
        <v>44946</v>
      </c>
      <c r="D111" s="2">
        <v>44947</v>
      </c>
      <c r="E111" s="1" t="s">
        <v>46</v>
      </c>
      <c r="F111" s="1" t="s">
        <v>16</v>
      </c>
      <c r="G111" s="1" t="s">
        <v>24</v>
      </c>
      <c r="H111" s="1" t="s">
        <v>35</v>
      </c>
      <c r="I111" s="1" t="s">
        <v>52</v>
      </c>
      <c r="J111" s="1" t="s">
        <v>56</v>
      </c>
      <c r="K111" s="1" t="s">
        <v>47</v>
      </c>
      <c r="L111" s="1">
        <v>6</v>
      </c>
      <c r="M111" s="1">
        <v>2076.84</v>
      </c>
      <c r="N111" s="1">
        <v>20</v>
      </c>
      <c r="O111" s="1">
        <v>9968.83</v>
      </c>
      <c r="P111" s="9">
        <f t="shared" si="1"/>
        <v>12461.04</v>
      </c>
      <c r="Q111" s="1"/>
      <c r="R111" s="11"/>
      <c r="S111" s="1"/>
      <c r="T111" s="1"/>
      <c r="U111" s="1"/>
    </row>
    <row r="112" spans="1:21" x14ac:dyDescent="0.3">
      <c r="A112" s="5">
        <v>10111</v>
      </c>
      <c r="B112" s="1">
        <v>1461</v>
      </c>
      <c r="C112" s="2">
        <v>44950</v>
      </c>
      <c r="D112" s="2">
        <v>44959</v>
      </c>
      <c r="E112" s="1" t="s">
        <v>15</v>
      </c>
      <c r="F112" s="1" t="s">
        <v>54</v>
      </c>
      <c r="G112" s="1" t="s">
        <v>30</v>
      </c>
      <c r="H112" s="1" t="s">
        <v>35</v>
      </c>
      <c r="I112" s="1" t="s">
        <v>49</v>
      </c>
      <c r="J112" s="1" t="s">
        <v>68</v>
      </c>
      <c r="K112" s="1" t="s">
        <v>33</v>
      </c>
      <c r="L112" s="1">
        <v>1</v>
      </c>
      <c r="M112" s="1">
        <v>1820.02</v>
      </c>
      <c r="N112" s="1">
        <v>10</v>
      </c>
      <c r="O112" s="1">
        <v>1638.02</v>
      </c>
      <c r="P112" s="9">
        <f t="shared" si="1"/>
        <v>1820.02</v>
      </c>
      <c r="Q112" s="1"/>
      <c r="R112" s="11"/>
      <c r="S112" s="1"/>
      <c r="T112" s="1"/>
      <c r="U112" s="1"/>
    </row>
    <row r="113" spans="1:21" x14ac:dyDescent="0.3">
      <c r="A113" s="5">
        <v>10112</v>
      </c>
      <c r="B113" s="1">
        <v>1726</v>
      </c>
      <c r="C113" s="2">
        <v>45153</v>
      </c>
      <c r="D113" s="2">
        <v>45154</v>
      </c>
      <c r="E113" s="1" t="s">
        <v>37</v>
      </c>
      <c r="F113" s="1" t="s">
        <v>41</v>
      </c>
      <c r="G113" s="1" t="s">
        <v>30</v>
      </c>
      <c r="H113" s="1" t="s">
        <v>18</v>
      </c>
      <c r="I113" s="1" t="s">
        <v>26</v>
      </c>
      <c r="J113" s="1" t="s">
        <v>36</v>
      </c>
      <c r="K113" s="1" t="s">
        <v>21</v>
      </c>
      <c r="L113" s="1">
        <v>4</v>
      </c>
      <c r="M113" s="1">
        <v>1110.5899999999999</v>
      </c>
      <c r="N113" s="1">
        <v>20</v>
      </c>
      <c r="O113" s="1">
        <v>3553.89</v>
      </c>
      <c r="P113" s="9">
        <f t="shared" si="1"/>
        <v>4442.3599999999997</v>
      </c>
      <c r="Q113" s="1"/>
      <c r="R113" s="11"/>
      <c r="S113" s="1"/>
      <c r="T113" s="1"/>
      <c r="U113" s="1"/>
    </row>
    <row r="114" spans="1:21" x14ac:dyDescent="0.3">
      <c r="A114" s="5">
        <v>10113</v>
      </c>
      <c r="B114" s="1">
        <v>1251</v>
      </c>
      <c r="C114" s="2">
        <v>45080</v>
      </c>
      <c r="D114" s="2">
        <v>45083</v>
      </c>
      <c r="E114" s="1" t="s">
        <v>16</v>
      </c>
      <c r="F114" s="1" t="s">
        <v>23</v>
      </c>
      <c r="G114" s="1" t="s">
        <v>17</v>
      </c>
      <c r="H114" s="1" t="s">
        <v>18</v>
      </c>
      <c r="I114" s="1" t="s">
        <v>26</v>
      </c>
      <c r="J114" s="1" t="s">
        <v>61</v>
      </c>
      <c r="K114" s="1" t="s">
        <v>21</v>
      </c>
      <c r="L114" s="1">
        <v>6</v>
      </c>
      <c r="M114" s="1">
        <v>2257.77</v>
      </c>
      <c r="N114" s="1">
        <v>20</v>
      </c>
      <c r="O114" s="1">
        <v>10837.3</v>
      </c>
      <c r="P114" s="9">
        <f t="shared" si="1"/>
        <v>13546.619999999999</v>
      </c>
      <c r="Q114" s="1"/>
      <c r="R114" s="11"/>
      <c r="S114" s="1"/>
      <c r="T114" s="1"/>
      <c r="U114" s="1"/>
    </row>
    <row r="115" spans="1:21" x14ac:dyDescent="0.3">
      <c r="A115" s="5">
        <v>10114</v>
      </c>
      <c r="B115" s="1">
        <v>1701</v>
      </c>
      <c r="C115" s="2">
        <v>45219</v>
      </c>
      <c r="D115" s="2">
        <v>45227</v>
      </c>
      <c r="E115" s="1" t="s">
        <v>40</v>
      </c>
      <c r="F115" s="1" t="s">
        <v>23</v>
      </c>
      <c r="G115" s="1" t="s">
        <v>30</v>
      </c>
      <c r="H115" s="1" t="s">
        <v>25</v>
      </c>
      <c r="I115" s="1" t="s">
        <v>26</v>
      </c>
      <c r="J115" s="1" t="s">
        <v>69</v>
      </c>
      <c r="K115" s="1" t="s">
        <v>45</v>
      </c>
      <c r="L115" s="1">
        <v>9</v>
      </c>
      <c r="M115" s="1">
        <v>1206.3800000000001</v>
      </c>
      <c r="N115" s="1">
        <v>10</v>
      </c>
      <c r="O115" s="1">
        <v>9771.68</v>
      </c>
      <c r="P115" s="9">
        <f t="shared" si="1"/>
        <v>10857.420000000002</v>
      </c>
      <c r="Q115" s="1"/>
      <c r="R115" s="11"/>
      <c r="S115" s="1"/>
      <c r="T115" s="1"/>
      <c r="U115" s="1"/>
    </row>
    <row r="116" spans="1:21" x14ac:dyDescent="0.3">
      <c r="A116" s="5">
        <v>10115</v>
      </c>
      <c r="B116" s="1">
        <v>1295</v>
      </c>
      <c r="C116" s="2">
        <v>45156</v>
      </c>
      <c r="D116" s="2">
        <v>45159</v>
      </c>
      <c r="E116" s="1" t="s">
        <v>22</v>
      </c>
      <c r="F116" s="1" t="s">
        <v>54</v>
      </c>
      <c r="G116" s="1" t="s">
        <v>24</v>
      </c>
      <c r="H116" s="1" t="s">
        <v>42</v>
      </c>
      <c r="I116" s="1" t="s">
        <v>57</v>
      </c>
      <c r="J116" s="1" t="s">
        <v>62</v>
      </c>
      <c r="K116" s="1" t="s">
        <v>28</v>
      </c>
      <c r="L116" s="1">
        <v>2</v>
      </c>
      <c r="M116" s="1">
        <v>3621.09</v>
      </c>
      <c r="N116" s="1">
        <v>0</v>
      </c>
      <c r="O116" s="1">
        <v>7242.18</v>
      </c>
      <c r="P116" s="9">
        <f t="shared" si="1"/>
        <v>7242.18</v>
      </c>
      <c r="Q116" s="1"/>
      <c r="R116" s="11"/>
      <c r="S116" s="1"/>
      <c r="T116" s="1"/>
      <c r="U116" s="1"/>
    </row>
    <row r="117" spans="1:21" x14ac:dyDescent="0.3">
      <c r="A117" s="5">
        <v>10116</v>
      </c>
      <c r="B117" s="1">
        <v>1724</v>
      </c>
      <c r="C117" s="2">
        <v>45236</v>
      </c>
      <c r="D117" s="2">
        <v>45240</v>
      </c>
      <c r="E117" s="1" t="s">
        <v>16</v>
      </c>
      <c r="F117" s="1" t="s">
        <v>41</v>
      </c>
      <c r="G117" s="1" t="s">
        <v>30</v>
      </c>
      <c r="H117" s="1" t="s">
        <v>18</v>
      </c>
      <c r="I117" s="1" t="s">
        <v>52</v>
      </c>
      <c r="J117" s="1" t="s">
        <v>60</v>
      </c>
      <c r="K117" s="1" t="s">
        <v>47</v>
      </c>
      <c r="L117" s="1">
        <v>7</v>
      </c>
      <c r="M117" s="1">
        <v>978.54</v>
      </c>
      <c r="N117" s="1">
        <v>15</v>
      </c>
      <c r="O117" s="1">
        <v>5822.31</v>
      </c>
      <c r="P117" s="9">
        <f t="shared" si="1"/>
        <v>6849.78</v>
      </c>
      <c r="Q117" s="1"/>
      <c r="R117" s="11"/>
      <c r="S117" s="1"/>
      <c r="T117" s="1"/>
      <c r="U117" s="1"/>
    </row>
    <row r="118" spans="1:21" x14ac:dyDescent="0.3">
      <c r="A118" s="5">
        <v>10117</v>
      </c>
      <c r="B118" s="1">
        <v>1719</v>
      </c>
      <c r="C118" s="2">
        <v>45285</v>
      </c>
      <c r="D118" s="2">
        <v>45293</v>
      </c>
      <c r="E118" s="1" t="s">
        <v>40</v>
      </c>
      <c r="F118" s="1" t="s">
        <v>54</v>
      </c>
      <c r="G118" s="1" t="s">
        <v>17</v>
      </c>
      <c r="H118" s="1" t="s">
        <v>42</v>
      </c>
      <c r="I118" s="1" t="s">
        <v>57</v>
      </c>
      <c r="J118" s="1" t="s">
        <v>58</v>
      </c>
      <c r="K118" s="1" t="s">
        <v>47</v>
      </c>
      <c r="L118" s="1">
        <v>6</v>
      </c>
      <c r="M118" s="1">
        <v>3554.77</v>
      </c>
      <c r="N118" s="1">
        <v>20</v>
      </c>
      <c r="O118" s="1">
        <v>17062.900000000001</v>
      </c>
      <c r="P118" s="9">
        <f t="shared" si="1"/>
        <v>21328.62</v>
      </c>
      <c r="Q118" s="1"/>
      <c r="R118" s="11"/>
      <c r="S118" s="1"/>
      <c r="T118" s="1"/>
      <c r="U118" s="1"/>
    </row>
    <row r="119" spans="1:21" x14ac:dyDescent="0.3">
      <c r="A119" s="5">
        <v>10118</v>
      </c>
      <c r="B119" s="1">
        <v>1748</v>
      </c>
      <c r="C119" s="2">
        <v>45128</v>
      </c>
      <c r="D119" s="2">
        <v>45129</v>
      </c>
      <c r="E119" s="1" t="s">
        <v>22</v>
      </c>
      <c r="F119" s="1" t="s">
        <v>16</v>
      </c>
      <c r="G119" s="1" t="s">
        <v>17</v>
      </c>
      <c r="H119" s="1" t="s">
        <v>44</v>
      </c>
      <c r="I119" s="1" t="s">
        <v>31</v>
      </c>
      <c r="J119" s="1" t="s">
        <v>48</v>
      </c>
      <c r="K119" s="1" t="s">
        <v>33</v>
      </c>
      <c r="L119" s="1">
        <v>2</v>
      </c>
      <c r="M119" s="1">
        <v>2303.71</v>
      </c>
      <c r="N119" s="1">
        <v>20</v>
      </c>
      <c r="O119" s="1">
        <v>3685.94</v>
      </c>
      <c r="P119" s="9">
        <f t="shared" si="1"/>
        <v>4607.42</v>
      </c>
      <c r="Q119" s="1"/>
      <c r="R119" s="11"/>
      <c r="S119" s="1"/>
      <c r="T119" s="1"/>
      <c r="U119" s="1"/>
    </row>
    <row r="120" spans="1:21" x14ac:dyDescent="0.3">
      <c r="A120" s="5">
        <v>10119</v>
      </c>
      <c r="B120" s="1">
        <v>1337</v>
      </c>
      <c r="C120" s="2">
        <v>44964</v>
      </c>
      <c r="D120" s="2">
        <v>44970</v>
      </c>
      <c r="E120" s="1" t="s">
        <v>16</v>
      </c>
      <c r="F120" s="1" t="s">
        <v>38</v>
      </c>
      <c r="G120" s="1" t="s">
        <v>17</v>
      </c>
      <c r="H120" s="1" t="s">
        <v>35</v>
      </c>
      <c r="I120" s="1" t="s">
        <v>31</v>
      </c>
      <c r="J120" s="1" t="s">
        <v>32</v>
      </c>
      <c r="K120" s="1" t="s">
        <v>33</v>
      </c>
      <c r="L120" s="1">
        <v>8</v>
      </c>
      <c r="M120" s="1">
        <v>3339.68</v>
      </c>
      <c r="N120" s="1">
        <v>0</v>
      </c>
      <c r="O120" s="1">
        <v>26717.439999999999</v>
      </c>
      <c r="P120" s="9">
        <f t="shared" si="1"/>
        <v>26717.439999999999</v>
      </c>
      <c r="Q120" s="1"/>
      <c r="R120" s="11"/>
      <c r="S120" s="1"/>
      <c r="T120" s="1"/>
      <c r="U120" s="1"/>
    </row>
    <row r="121" spans="1:21" x14ac:dyDescent="0.3">
      <c r="A121" s="5">
        <v>10120</v>
      </c>
      <c r="B121" s="1">
        <v>1878</v>
      </c>
      <c r="C121" s="2">
        <v>45186</v>
      </c>
      <c r="D121" s="2">
        <v>45187</v>
      </c>
      <c r="E121" s="1" t="s">
        <v>40</v>
      </c>
      <c r="F121" s="1" t="s">
        <v>23</v>
      </c>
      <c r="G121" s="1" t="s">
        <v>24</v>
      </c>
      <c r="H121" s="1" t="s">
        <v>42</v>
      </c>
      <c r="I121" s="1" t="s">
        <v>52</v>
      </c>
      <c r="J121" s="1" t="s">
        <v>53</v>
      </c>
      <c r="K121" s="1" t="s">
        <v>47</v>
      </c>
      <c r="L121" s="1">
        <v>7</v>
      </c>
      <c r="M121" s="1">
        <v>2894.46</v>
      </c>
      <c r="N121" s="1">
        <v>5</v>
      </c>
      <c r="O121" s="1">
        <v>19248.16</v>
      </c>
      <c r="P121" s="9">
        <f t="shared" si="1"/>
        <v>20261.22</v>
      </c>
      <c r="Q121" s="1"/>
      <c r="R121" s="11"/>
      <c r="S121" s="1"/>
      <c r="T121" s="1"/>
      <c r="U121" s="1"/>
    </row>
    <row r="122" spans="1:21" x14ac:dyDescent="0.3">
      <c r="A122" s="5">
        <v>10121</v>
      </c>
      <c r="B122" s="1">
        <v>1052</v>
      </c>
      <c r="C122" s="2">
        <v>45114</v>
      </c>
      <c r="D122" s="2">
        <v>45115</v>
      </c>
      <c r="E122" s="1" t="s">
        <v>16</v>
      </c>
      <c r="F122" s="1" t="s">
        <v>16</v>
      </c>
      <c r="G122" s="1" t="s">
        <v>24</v>
      </c>
      <c r="H122" s="1" t="s">
        <v>35</v>
      </c>
      <c r="I122" s="1" t="s">
        <v>57</v>
      </c>
      <c r="J122" s="1" t="s">
        <v>62</v>
      </c>
      <c r="K122" s="1" t="s">
        <v>33</v>
      </c>
      <c r="L122" s="1">
        <v>5</v>
      </c>
      <c r="M122" s="1">
        <v>2832.28</v>
      </c>
      <c r="N122" s="1">
        <v>0</v>
      </c>
      <c r="O122" s="1">
        <v>14161.4</v>
      </c>
      <c r="P122" s="9">
        <f t="shared" si="1"/>
        <v>14161.400000000001</v>
      </c>
      <c r="Q122" s="1"/>
      <c r="R122" s="11"/>
      <c r="S122" s="1"/>
      <c r="T122" s="1"/>
      <c r="U122" s="1"/>
    </row>
    <row r="123" spans="1:21" x14ac:dyDescent="0.3">
      <c r="A123" s="5">
        <v>10122</v>
      </c>
      <c r="B123" s="1">
        <v>1791</v>
      </c>
      <c r="C123" s="2">
        <v>44983</v>
      </c>
      <c r="D123" s="2">
        <v>44991</v>
      </c>
      <c r="E123" s="1" t="s">
        <v>16</v>
      </c>
      <c r="F123" s="1" t="s">
        <v>38</v>
      </c>
      <c r="G123" s="1" t="s">
        <v>24</v>
      </c>
      <c r="H123" s="1" t="s">
        <v>42</v>
      </c>
      <c r="I123" s="1" t="s">
        <v>49</v>
      </c>
      <c r="J123" s="1" t="s">
        <v>63</v>
      </c>
      <c r="K123" s="1" t="s">
        <v>45</v>
      </c>
      <c r="L123" s="1">
        <v>5</v>
      </c>
      <c r="M123" s="1">
        <v>1398.73</v>
      </c>
      <c r="N123" s="1">
        <v>0</v>
      </c>
      <c r="O123" s="1">
        <v>6993.65</v>
      </c>
      <c r="P123" s="9">
        <f t="shared" si="1"/>
        <v>6993.65</v>
      </c>
      <c r="Q123" s="1"/>
      <c r="R123" s="11"/>
      <c r="S123" s="1"/>
      <c r="T123" s="1"/>
      <c r="U123" s="1"/>
    </row>
    <row r="124" spans="1:21" x14ac:dyDescent="0.3">
      <c r="A124" s="5">
        <v>10123</v>
      </c>
      <c r="B124" s="1">
        <v>1921</v>
      </c>
      <c r="C124" s="2">
        <v>44946</v>
      </c>
      <c r="D124" s="2">
        <v>44950</v>
      </c>
      <c r="E124" s="1" t="s">
        <v>22</v>
      </c>
      <c r="F124" s="1" t="s">
        <v>16</v>
      </c>
      <c r="G124" s="1" t="s">
        <v>24</v>
      </c>
      <c r="H124" s="1" t="s">
        <v>44</v>
      </c>
      <c r="I124" s="1" t="s">
        <v>26</v>
      </c>
      <c r="J124" s="1" t="s">
        <v>69</v>
      </c>
      <c r="K124" s="1" t="s">
        <v>47</v>
      </c>
      <c r="L124" s="1">
        <v>7</v>
      </c>
      <c r="M124" s="1">
        <v>1050.5</v>
      </c>
      <c r="N124" s="1">
        <v>20</v>
      </c>
      <c r="O124" s="1">
        <v>5882.8</v>
      </c>
      <c r="P124" s="9">
        <f t="shared" si="1"/>
        <v>7353.5</v>
      </c>
      <c r="Q124" s="1"/>
      <c r="R124" s="11"/>
      <c r="S124" s="1"/>
      <c r="T124" s="1"/>
      <c r="U124" s="1"/>
    </row>
    <row r="125" spans="1:21" x14ac:dyDescent="0.3">
      <c r="A125" s="5">
        <v>10124</v>
      </c>
      <c r="B125" s="1">
        <v>1216</v>
      </c>
      <c r="C125" s="2">
        <v>45199</v>
      </c>
      <c r="D125" s="2">
        <v>45200</v>
      </c>
      <c r="E125" s="1" t="s">
        <v>16</v>
      </c>
      <c r="F125" s="1" t="s">
        <v>41</v>
      </c>
      <c r="G125" s="1" t="s">
        <v>24</v>
      </c>
      <c r="H125" s="1" t="s">
        <v>18</v>
      </c>
      <c r="I125" s="1" t="s">
        <v>26</v>
      </c>
      <c r="J125" s="1" t="s">
        <v>61</v>
      </c>
      <c r="K125" s="1" t="s">
        <v>33</v>
      </c>
      <c r="L125" s="1">
        <v>9</v>
      </c>
      <c r="M125" s="1">
        <v>961.91</v>
      </c>
      <c r="N125" s="1">
        <v>15</v>
      </c>
      <c r="O125" s="1">
        <v>7358.61</v>
      </c>
      <c r="P125" s="9">
        <f t="shared" si="1"/>
        <v>8657.19</v>
      </c>
      <c r="Q125" s="1"/>
      <c r="R125" s="11"/>
      <c r="S125" s="1"/>
      <c r="T125" s="1"/>
      <c r="U125" s="1"/>
    </row>
    <row r="126" spans="1:21" x14ac:dyDescent="0.3">
      <c r="A126" s="5">
        <v>10125</v>
      </c>
      <c r="B126" s="1">
        <v>1763</v>
      </c>
      <c r="C126" s="2">
        <v>45045</v>
      </c>
      <c r="D126" s="2">
        <v>45052</v>
      </c>
      <c r="E126" s="1" t="s">
        <v>16</v>
      </c>
      <c r="F126" s="1" t="s">
        <v>23</v>
      </c>
      <c r="G126" s="1" t="s">
        <v>30</v>
      </c>
      <c r="H126" s="1" t="s">
        <v>44</v>
      </c>
      <c r="I126" s="1" t="s">
        <v>52</v>
      </c>
      <c r="J126" s="1" t="s">
        <v>64</v>
      </c>
      <c r="K126" s="1" t="s">
        <v>47</v>
      </c>
      <c r="L126" s="1">
        <v>9</v>
      </c>
      <c r="M126" s="1">
        <v>3450.19</v>
      </c>
      <c r="N126" s="1">
        <v>0</v>
      </c>
      <c r="O126" s="1">
        <v>31051.71</v>
      </c>
      <c r="P126" s="9">
        <f t="shared" si="1"/>
        <v>31051.71</v>
      </c>
      <c r="Q126" s="1"/>
      <c r="R126" s="11"/>
      <c r="S126" s="1"/>
      <c r="T126" s="1"/>
      <c r="U126" s="1"/>
    </row>
    <row r="127" spans="1:21" x14ac:dyDescent="0.3">
      <c r="A127" s="5">
        <v>10126</v>
      </c>
      <c r="B127" s="1">
        <v>1187</v>
      </c>
      <c r="C127" s="2">
        <v>44997</v>
      </c>
      <c r="D127" s="2">
        <v>45002</v>
      </c>
      <c r="E127" s="1" t="s">
        <v>22</v>
      </c>
      <c r="F127" s="1" t="s">
        <v>54</v>
      </c>
      <c r="G127" s="1" t="s">
        <v>24</v>
      </c>
      <c r="H127" s="1" t="s">
        <v>18</v>
      </c>
      <c r="I127" s="1" t="s">
        <v>31</v>
      </c>
      <c r="J127" s="1" t="s">
        <v>48</v>
      </c>
      <c r="K127" s="1" t="s">
        <v>28</v>
      </c>
      <c r="L127" s="1">
        <v>9</v>
      </c>
      <c r="M127" s="1">
        <v>3308.64</v>
      </c>
      <c r="N127" s="1">
        <v>5</v>
      </c>
      <c r="O127" s="1">
        <v>28288.87</v>
      </c>
      <c r="P127" s="9">
        <f t="shared" si="1"/>
        <v>29777.759999999998</v>
      </c>
      <c r="Q127" s="1"/>
      <c r="R127" s="11"/>
      <c r="S127" s="1"/>
      <c r="T127" s="1"/>
      <c r="U127" s="1"/>
    </row>
    <row r="128" spans="1:21" x14ac:dyDescent="0.3">
      <c r="A128" s="5">
        <v>10127</v>
      </c>
      <c r="B128" s="1">
        <v>1379</v>
      </c>
      <c r="C128" s="2">
        <v>44930</v>
      </c>
      <c r="D128" s="2">
        <v>44935</v>
      </c>
      <c r="E128" s="1" t="s">
        <v>37</v>
      </c>
      <c r="F128" s="1" t="s">
        <v>54</v>
      </c>
      <c r="G128" s="1" t="s">
        <v>24</v>
      </c>
      <c r="H128" s="1" t="s">
        <v>18</v>
      </c>
      <c r="I128" s="1" t="s">
        <v>31</v>
      </c>
      <c r="J128" s="1" t="s">
        <v>39</v>
      </c>
      <c r="K128" s="1" t="s">
        <v>21</v>
      </c>
      <c r="L128" s="1">
        <v>6</v>
      </c>
      <c r="M128" s="1">
        <v>1846.21</v>
      </c>
      <c r="N128" s="1">
        <v>10</v>
      </c>
      <c r="O128" s="1">
        <v>9969.5300000000007</v>
      </c>
      <c r="P128" s="9">
        <f t="shared" si="1"/>
        <v>11077.26</v>
      </c>
      <c r="Q128" s="1"/>
      <c r="R128" s="11"/>
      <c r="S128" s="1"/>
      <c r="T128" s="1"/>
      <c r="U128" s="1"/>
    </row>
    <row r="129" spans="1:21" x14ac:dyDescent="0.3">
      <c r="A129" s="5">
        <v>10128</v>
      </c>
      <c r="B129" s="1">
        <v>1492</v>
      </c>
      <c r="C129" s="2">
        <v>45147</v>
      </c>
      <c r="D129" s="2">
        <v>45148</v>
      </c>
      <c r="E129" s="1" t="s">
        <v>46</v>
      </c>
      <c r="F129" s="1" t="s">
        <v>38</v>
      </c>
      <c r="G129" s="1" t="s">
        <v>30</v>
      </c>
      <c r="H129" s="1" t="s">
        <v>35</v>
      </c>
      <c r="I129" s="1" t="s">
        <v>26</v>
      </c>
      <c r="J129" s="1" t="s">
        <v>61</v>
      </c>
      <c r="K129" s="1" t="s">
        <v>47</v>
      </c>
      <c r="L129" s="1">
        <v>6</v>
      </c>
      <c r="M129" s="1">
        <v>659.76</v>
      </c>
      <c r="N129" s="1">
        <v>0</v>
      </c>
      <c r="O129" s="1">
        <v>3958.56</v>
      </c>
      <c r="P129" s="9">
        <f t="shared" si="1"/>
        <v>3958.56</v>
      </c>
      <c r="Q129" s="1"/>
      <c r="R129" s="11"/>
      <c r="S129" s="1"/>
      <c r="T129" s="1"/>
      <c r="U129" s="1"/>
    </row>
    <row r="130" spans="1:21" x14ac:dyDescent="0.3">
      <c r="A130" s="5">
        <v>10129</v>
      </c>
      <c r="B130" s="1">
        <v>1040</v>
      </c>
      <c r="C130" s="2">
        <v>44940</v>
      </c>
      <c r="D130" s="2">
        <v>44946</v>
      </c>
      <c r="E130" s="1" t="s">
        <v>34</v>
      </c>
      <c r="F130" s="1" t="s">
        <v>29</v>
      </c>
      <c r="G130" s="1" t="s">
        <v>24</v>
      </c>
      <c r="H130" s="1" t="s">
        <v>44</v>
      </c>
      <c r="I130" s="1" t="s">
        <v>52</v>
      </c>
      <c r="J130" s="1" t="s">
        <v>56</v>
      </c>
      <c r="K130" s="1" t="s">
        <v>21</v>
      </c>
      <c r="L130" s="1">
        <v>3</v>
      </c>
      <c r="M130" s="1">
        <v>1621.67</v>
      </c>
      <c r="N130" s="1">
        <v>0</v>
      </c>
      <c r="O130" s="1">
        <v>4865.01</v>
      </c>
      <c r="P130" s="9">
        <f t="shared" si="1"/>
        <v>4865.01</v>
      </c>
      <c r="Q130" s="1"/>
      <c r="R130" s="11"/>
      <c r="S130" s="1"/>
      <c r="T130" s="1"/>
      <c r="U130" s="1"/>
    </row>
    <row r="131" spans="1:21" x14ac:dyDescent="0.3">
      <c r="A131" s="5">
        <v>10130</v>
      </c>
      <c r="B131" s="1">
        <v>1156</v>
      </c>
      <c r="C131" s="2">
        <v>44929</v>
      </c>
      <c r="D131" s="2">
        <v>44938</v>
      </c>
      <c r="E131" s="1" t="s">
        <v>15</v>
      </c>
      <c r="F131" s="1" t="s">
        <v>41</v>
      </c>
      <c r="G131" s="1" t="s">
        <v>17</v>
      </c>
      <c r="H131" s="1" t="s">
        <v>42</v>
      </c>
      <c r="I131" s="1" t="s">
        <v>57</v>
      </c>
      <c r="J131" s="1" t="s">
        <v>62</v>
      </c>
      <c r="K131" s="1" t="s">
        <v>33</v>
      </c>
      <c r="L131" s="1">
        <v>1</v>
      </c>
      <c r="M131" s="1">
        <v>2534.4699999999998</v>
      </c>
      <c r="N131" s="1">
        <v>5</v>
      </c>
      <c r="O131" s="1">
        <v>2407.75</v>
      </c>
      <c r="P131" s="9">
        <f t="shared" ref="P131:P194" si="2">L131*M131</f>
        <v>2534.4699999999998</v>
      </c>
      <c r="Q131" s="1"/>
      <c r="R131" s="11"/>
      <c r="S131" s="1"/>
      <c r="T131" s="1"/>
      <c r="U131" s="1"/>
    </row>
    <row r="132" spans="1:21" x14ac:dyDescent="0.3">
      <c r="A132" s="5">
        <v>10131</v>
      </c>
      <c r="B132" s="1">
        <v>1014</v>
      </c>
      <c r="C132" s="2">
        <v>45142</v>
      </c>
      <c r="D132" s="2">
        <v>45151</v>
      </c>
      <c r="E132" s="1" t="s">
        <v>34</v>
      </c>
      <c r="F132" s="1" t="s">
        <v>38</v>
      </c>
      <c r="G132" s="1" t="s">
        <v>24</v>
      </c>
      <c r="H132" s="1" t="s">
        <v>44</v>
      </c>
      <c r="I132" s="1" t="s">
        <v>31</v>
      </c>
      <c r="J132" s="1" t="s">
        <v>32</v>
      </c>
      <c r="K132" s="1" t="s">
        <v>21</v>
      </c>
      <c r="L132" s="1">
        <v>7</v>
      </c>
      <c r="M132" s="1">
        <v>1899.45</v>
      </c>
      <c r="N132" s="1">
        <v>15</v>
      </c>
      <c r="O132" s="1">
        <v>11301.73</v>
      </c>
      <c r="P132" s="9">
        <f t="shared" si="2"/>
        <v>13296.15</v>
      </c>
      <c r="Q132" s="1"/>
      <c r="R132" s="11"/>
      <c r="S132" s="1"/>
      <c r="T132" s="1"/>
      <c r="U132" s="1"/>
    </row>
    <row r="133" spans="1:21" x14ac:dyDescent="0.3">
      <c r="A133" s="5">
        <v>10132</v>
      </c>
      <c r="B133" s="1">
        <v>1812</v>
      </c>
      <c r="C133" s="2">
        <v>45155</v>
      </c>
      <c r="D133" s="2">
        <v>45163</v>
      </c>
      <c r="E133" s="1" t="s">
        <v>34</v>
      </c>
      <c r="F133" s="1" t="s">
        <v>29</v>
      </c>
      <c r="G133" s="1" t="s">
        <v>24</v>
      </c>
      <c r="H133" s="1" t="s">
        <v>35</v>
      </c>
      <c r="I133" s="1" t="s">
        <v>57</v>
      </c>
      <c r="J133" s="1" t="s">
        <v>58</v>
      </c>
      <c r="K133" s="1" t="s">
        <v>47</v>
      </c>
      <c r="L133" s="1">
        <v>4</v>
      </c>
      <c r="M133" s="1">
        <v>3153.73</v>
      </c>
      <c r="N133" s="1">
        <v>0</v>
      </c>
      <c r="O133" s="1">
        <v>12614.92</v>
      </c>
      <c r="P133" s="9">
        <f t="shared" si="2"/>
        <v>12614.92</v>
      </c>
      <c r="Q133" s="1"/>
      <c r="R133" s="11"/>
      <c r="S133" s="1"/>
      <c r="T133" s="1"/>
      <c r="U133" s="1"/>
    </row>
    <row r="134" spans="1:21" x14ac:dyDescent="0.3">
      <c r="A134" s="5">
        <v>10133</v>
      </c>
      <c r="B134" s="1">
        <v>1064</v>
      </c>
      <c r="C134" s="2">
        <v>45262</v>
      </c>
      <c r="D134" s="2">
        <v>45267</v>
      </c>
      <c r="E134" s="1" t="s">
        <v>40</v>
      </c>
      <c r="F134" s="1" t="s">
        <v>16</v>
      </c>
      <c r="G134" s="1" t="s">
        <v>17</v>
      </c>
      <c r="H134" s="1" t="s">
        <v>18</v>
      </c>
      <c r="I134" s="1" t="s">
        <v>31</v>
      </c>
      <c r="J134" s="1" t="s">
        <v>48</v>
      </c>
      <c r="K134" s="1" t="s">
        <v>28</v>
      </c>
      <c r="L134" s="1">
        <v>1</v>
      </c>
      <c r="M134" s="1">
        <v>3990.85</v>
      </c>
      <c r="N134" s="1">
        <v>0</v>
      </c>
      <c r="O134" s="1">
        <v>3990.85</v>
      </c>
      <c r="P134" s="9">
        <f t="shared" si="2"/>
        <v>3990.85</v>
      </c>
      <c r="Q134" s="1"/>
      <c r="R134" s="11"/>
      <c r="S134" s="1"/>
      <c r="T134" s="1"/>
      <c r="U134" s="1"/>
    </row>
    <row r="135" spans="1:21" x14ac:dyDescent="0.3">
      <c r="A135" s="5">
        <v>10134</v>
      </c>
      <c r="B135" s="1">
        <v>1856</v>
      </c>
      <c r="C135" s="2">
        <v>45112</v>
      </c>
      <c r="D135" s="2">
        <v>45113</v>
      </c>
      <c r="E135" s="1" t="s">
        <v>46</v>
      </c>
      <c r="F135" s="1" t="s">
        <v>41</v>
      </c>
      <c r="G135" s="1" t="s">
        <v>17</v>
      </c>
      <c r="H135" s="1" t="s">
        <v>35</v>
      </c>
      <c r="I135" s="1" t="s">
        <v>31</v>
      </c>
      <c r="J135" s="1" t="s">
        <v>65</v>
      </c>
      <c r="K135" s="1" t="s">
        <v>33</v>
      </c>
      <c r="L135" s="1">
        <v>8</v>
      </c>
      <c r="M135" s="1">
        <v>885.86</v>
      </c>
      <c r="N135" s="1">
        <v>15</v>
      </c>
      <c r="O135" s="1">
        <v>6023.85</v>
      </c>
      <c r="P135" s="9">
        <f t="shared" si="2"/>
        <v>7086.88</v>
      </c>
      <c r="Q135" s="1"/>
      <c r="R135" s="11"/>
      <c r="S135" s="1"/>
      <c r="T135" s="1"/>
      <c r="U135" s="1"/>
    </row>
    <row r="136" spans="1:21" x14ac:dyDescent="0.3">
      <c r="A136" s="5">
        <v>10135</v>
      </c>
      <c r="B136" s="1">
        <v>1838</v>
      </c>
      <c r="C136" s="2">
        <v>44981</v>
      </c>
      <c r="D136" s="2">
        <v>44990</v>
      </c>
      <c r="E136" s="1" t="s">
        <v>40</v>
      </c>
      <c r="F136" s="1" t="s">
        <v>16</v>
      </c>
      <c r="G136" s="1" t="s">
        <v>17</v>
      </c>
      <c r="H136" s="1" t="s">
        <v>25</v>
      </c>
      <c r="I136" s="1" t="s">
        <v>19</v>
      </c>
      <c r="J136" s="1" t="s">
        <v>43</v>
      </c>
      <c r="K136" s="1" t="s">
        <v>47</v>
      </c>
      <c r="L136" s="1">
        <v>6</v>
      </c>
      <c r="M136" s="1">
        <v>1919.66</v>
      </c>
      <c r="N136" s="1">
        <v>5</v>
      </c>
      <c r="O136" s="1">
        <v>10942.06</v>
      </c>
      <c r="P136" s="9">
        <f t="shared" si="2"/>
        <v>11517.960000000001</v>
      </c>
      <c r="Q136" s="1"/>
      <c r="R136" s="11"/>
      <c r="S136" s="1"/>
      <c r="T136" s="1"/>
      <c r="U136" s="1"/>
    </row>
    <row r="137" spans="1:21" x14ac:dyDescent="0.3">
      <c r="A137" s="5">
        <v>10136</v>
      </c>
      <c r="B137" s="1">
        <v>1520</v>
      </c>
      <c r="C137" s="2">
        <v>45180</v>
      </c>
      <c r="D137" s="2">
        <v>45181</v>
      </c>
      <c r="E137" s="1" t="s">
        <v>46</v>
      </c>
      <c r="F137" s="1" t="s">
        <v>23</v>
      </c>
      <c r="G137" s="1" t="s">
        <v>17</v>
      </c>
      <c r="H137" s="1" t="s">
        <v>25</v>
      </c>
      <c r="I137" s="1" t="s">
        <v>31</v>
      </c>
      <c r="J137" s="1" t="s">
        <v>39</v>
      </c>
      <c r="K137" s="1" t="s">
        <v>33</v>
      </c>
      <c r="L137" s="1">
        <v>6</v>
      </c>
      <c r="M137" s="1">
        <v>1809.29</v>
      </c>
      <c r="N137" s="1">
        <v>0</v>
      </c>
      <c r="O137" s="1">
        <v>10855.74</v>
      </c>
      <c r="P137" s="9">
        <f t="shared" si="2"/>
        <v>10855.74</v>
      </c>
      <c r="Q137" s="1"/>
      <c r="R137" s="11"/>
      <c r="S137" s="1"/>
      <c r="T137" s="1"/>
      <c r="U137" s="1"/>
    </row>
    <row r="138" spans="1:21" x14ac:dyDescent="0.3">
      <c r="A138" s="5">
        <v>10137</v>
      </c>
      <c r="B138" s="1">
        <v>1343</v>
      </c>
      <c r="C138" s="2">
        <v>44950</v>
      </c>
      <c r="D138" s="2">
        <v>44958</v>
      </c>
      <c r="E138" s="1" t="s">
        <v>22</v>
      </c>
      <c r="F138" s="1" t="s">
        <v>41</v>
      </c>
      <c r="G138" s="1" t="s">
        <v>24</v>
      </c>
      <c r="H138" s="1" t="s">
        <v>42</v>
      </c>
      <c r="I138" s="1" t="s">
        <v>49</v>
      </c>
      <c r="J138" s="1" t="s">
        <v>50</v>
      </c>
      <c r="K138" s="1" t="s">
        <v>45</v>
      </c>
      <c r="L138" s="1">
        <v>2</v>
      </c>
      <c r="M138" s="1">
        <v>1322.3</v>
      </c>
      <c r="N138" s="1">
        <v>15</v>
      </c>
      <c r="O138" s="1">
        <v>2247.91</v>
      </c>
      <c r="P138" s="9">
        <f t="shared" si="2"/>
        <v>2644.6</v>
      </c>
      <c r="Q138" s="1"/>
      <c r="R138" s="11"/>
      <c r="S138" s="1"/>
      <c r="T138" s="1"/>
      <c r="U138" s="1"/>
    </row>
    <row r="139" spans="1:21" x14ac:dyDescent="0.3">
      <c r="A139" s="5">
        <v>10138</v>
      </c>
      <c r="B139" s="1">
        <v>1128</v>
      </c>
      <c r="C139" s="2">
        <v>45088</v>
      </c>
      <c r="D139" s="2">
        <v>45093</v>
      </c>
      <c r="E139" s="1" t="s">
        <v>22</v>
      </c>
      <c r="F139" s="1" t="s">
        <v>29</v>
      </c>
      <c r="G139" s="1" t="s">
        <v>17</v>
      </c>
      <c r="H139" s="1" t="s">
        <v>35</v>
      </c>
      <c r="I139" s="1" t="s">
        <v>52</v>
      </c>
      <c r="J139" s="1" t="s">
        <v>53</v>
      </c>
      <c r="K139" s="1" t="s">
        <v>21</v>
      </c>
      <c r="L139" s="1">
        <v>1</v>
      </c>
      <c r="M139" s="1">
        <v>912.67</v>
      </c>
      <c r="N139" s="1">
        <v>0</v>
      </c>
      <c r="O139" s="1">
        <v>912.67</v>
      </c>
      <c r="P139" s="9">
        <f t="shared" si="2"/>
        <v>912.67</v>
      </c>
      <c r="Q139" s="1"/>
      <c r="R139" s="11"/>
      <c r="S139" s="1"/>
      <c r="T139" s="1"/>
      <c r="U139" s="1"/>
    </row>
    <row r="140" spans="1:21" x14ac:dyDescent="0.3">
      <c r="A140" s="5">
        <v>10139</v>
      </c>
      <c r="B140" s="1">
        <v>1647</v>
      </c>
      <c r="C140" s="2">
        <v>45084</v>
      </c>
      <c r="D140" s="2">
        <v>45087</v>
      </c>
      <c r="E140" s="1" t="s">
        <v>46</v>
      </c>
      <c r="F140" s="1" t="s">
        <v>23</v>
      </c>
      <c r="G140" s="1" t="s">
        <v>17</v>
      </c>
      <c r="H140" s="1" t="s">
        <v>42</v>
      </c>
      <c r="I140" s="1" t="s">
        <v>52</v>
      </c>
      <c r="J140" s="1" t="s">
        <v>53</v>
      </c>
      <c r="K140" s="1" t="s">
        <v>45</v>
      </c>
      <c r="L140" s="1">
        <v>2</v>
      </c>
      <c r="M140" s="1">
        <v>402.91</v>
      </c>
      <c r="N140" s="1">
        <v>10</v>
      </c>
      <c r="O140" s="1">
        <v>725.24</v>
      </c>
      <c r="P140" s="9">
        <f t="shared" si="2"/>
        <v>805.82</v>
      </c>
      <c r="Q140" s="1"/>
      <c r="R140" s="11"/>
      <c r="S140" s="1"/>
      <c r="T140" s="1"/>
      <c r="U140" s="1"/>
    </row>
    <row r="141" spans="1:21" x14ac:dyDescent="0.3">
      <c r="A141" s="5">
        <v>10140</v>
      </c>
      <c r="B141" s="1">
        <v>1471</v>
      </c>
      <c r="C141" s="2">
        <v>45008</v>
      </c>
      <c r="D141" s="2">
        <v>45015</v>
      </c>
      <c r="E141" s="1" t="s">
        <v>16</v>
      </c>
      <c r="F141" s="1" t="s">
        <v>54</v>
      </c>
      <c r="G141" s="1" t="s">
        <v>30</v>
      </c>
      <c r="H141" s="1" t="s">
        <v>42</v>
      </c>
      <c r="I141" s="1" t="s">
        <v>57</v>
      </c>
      <c r="J141" s="1" t="s">
        <v>59</v>
      </c>
      <c r="K141" s="1" t="s">
        <v>47</v>
      </c>
      <c r="L141" s="1">
        <v>4</v>
      </c>
      <c r="M141" s="1">
        <v>3565.41</v>
      </c>
      <c r="N141" s="1">
        <v>20</v>
      </c>
      <c r="O141" s="1">
        <v>11409.31</v>
      </c>
      <c r="P141" s="9">
        <f t="shared" si="2"/>
        <v>14261.64</v>
      </c>
      <c r="Q141" s="1"/>
      <c r="R141" s="11"/>
      <c r="S141" s="1"/>
      <c r="T141" s="1"/>
      <c r="U141" s="1"/>
    </row>
    <row r="142" spans="1:21" x14ac:dyDescent="0.3">
      <c r="A142" s="5">
        <v>10141</v>
      </c>
      <c r="B142" s="1">
        <v>1062</v>
      </c>
      <c r="C142" s="2">
        <v>45085</v>
      </c>
      <c r="D142" s="2">
        <v>45092</v>
      </c>
      <c r="E142" s="1" t="s">
        <v>37</v>
      </c>
      <c r="F142" s="1" t="s">
        <v>29</v>
      </c>
      <c r="G142" s="1" t="s">
        <v>17</v>
      </c>
      <c r="H142" s="1" t="s">
        <v>25</v>
      </c>
      <c r="I142" s="1" t="s">
        <v>31</v>
      </c>
      <c r="J142" s="1" t="s">
        <v>39</v>
      </c>
      <c r="K142" s="1" t="s">
        <v>28</v>
      </c>
      <c r="L142" s="1">
        <v>2</v>
      </c>
      <c r="M142" s="1">
        <v>1766.42</v>
      </c>
      <c r="N142" s="1">
        <v>10</v>
      </c>
      <c r="O142" s="1">
        <v>3179.56</v>
      </c>
      <c r="P142" s="9">
        <f t="shared" si="2"/>
        <v>3532.84</v>
      </c>
      <c r="Q142" s="1"/>
      <c r="R142" s="11"/>
      <c r="S142" s="1"/>
      <c r="T142" s="1"/>
      <c r="U142" s="1"/>
    </row>
    <row r="143" spans="1:21" x14ac:dyDescent="0.3">
      <c r="A143" s="5">
        <v>10142</v>
      </c>
      <c r="B143" s="1">
        <v>1138</v>
      </c>
      <c r="C143" s="2">
        <v>45114</v>
      </c>
      <c r="D143" s="2">
        <v>45123</v>
      </c>
      <c r="E143" s="1" t="s">
        <v>16</v>
      </c>
      <c r="F143" s="1" t="s">
        <v>38</v>
      </c>
      <c r="G143" s="1" t="s">
        <v>17</v>
      </c>
      <c r="H143" s="1" t="s">
        <v>42</v>
      </c>
      <c r="I143" s="1" t="s">
        <v>49</v>
      </c>
      <c r="J143" s="1" t="s">
        <v>51</v>
      </c>
      <c r="K143" s="1" t="s">
        <v>33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9">
        <f t="shared" si="2"/>
        <v>2063.0500000000002</v>
      </c>
      <c r="Q143" s="1"/>
      <c r="R143" s="11"/>
      <c r="S143" s="1"/>
      <c r="T143" s="1"/>
      <c r="U143" s="1"/>
    </row>
    <row r="144" spans="1:21" x14ac:dyDescent="0.3">
      <c r="A144" s="5">
        <v>10143</v>
      </c>
      <c r="B144" s="1">
        <v>1498</v>
      </c>
      <c r="C144" s="2">
        <v>44986</v>
      </c>
      <c r="D144" s="2">
        <v>44993</v>
      </c>
      <c r="E144" s="1" t="s">
        <v>37</v>
      </c>
      <c r="F144" s="1" t="s">
        <v>54</v>
      </c>
      <c r="G144" s="1" t="s">
        <v>30</v>
      </c>
      <c r="H144" s="1" t="s">
        <v>25</v>
      </c>
      <c r="I144" s="1" t="s">
        <v>57</v>
      </c>
      <c r="J144" s="1" t="s">
        <v>58</v>
      </c>
      <c r="K144" s="1" t="s">
        <v>21</v>
      </c>
      <c r="L144" s="1">
        <v>7</v>
      </c>
      <c r="M144" s="1">
        <v>3680.23</v>
      </c>
      <c r="N144" s="1">
        <v>5</v>
      </c>
      <c r="O144" s="1">
        <v>24473.53</v>
      </c>
      <c r="P144" s="9">
        <f t="shared" si="2"/>
        <v>25761.61</v>
      </c>
      <c r="Q144" s="1"/>
      <c r="R144" s="11"/>
      <c r="S144" s="1"/>
      <c r="T144" s="1"/>
      <c r="U144" s="1"/>
    </row>
    <row r="145" spans="1:21" x14ac:dyDescent="0.3">
      <c r="A145" s="5">
        <v>10144</v>
      </c>
      <c r="B145" s="1">
        <v>1592</v>
      </c>
      <c r="C145" s="2">
        <v>45231</v>
      </c>
      <c r="D145" s="2">
        <v>45234</v>
      </c>
      <c r="E145" s="1" t="s">
        <v>40</v>
      </c>
      <c r="F145" s="1" t="s">
        <v>54</v>
      </c>
      <c r="G145" s="1" t="s">
        <v>30</v>
      </c>
      <c r="H145" s="1" t="s">
        <v>18</v>
      </c>
      <c r="I145" s="1" t="s">
        <v>19</v>
      </c>
      <c r="J145" s="1" t="s">
        <v>55</v>
      </c>
      <c r="K145" s="1" t="s">
        <v>33</v>
      </c>
      <c r="L145" s="1">
        <v>8</v>
      </c>
      <c r="M145" s="1">
        <v>3138.72</v>
      </c>
      <c r="N145" s="1">
        <v>20</v>
      </c>
      <c r="O145" s="1">
        <v>20087.810000000001</v>
      </c>
      <c r="P145" s="9">
        <f t="shared" si="2"/>
        <v>25109.759999999998</v>
      </c>
      <c r="Q145" s="1"/>
      <c r="R145" s="11"/>
      <c r="S145" s="1"/>
      <c r="T145" s="1"/>
      <c r="U145" s="1"/>
    </row>
    <row r="146" spans="1:21" x14ac:dyDescent="0.3">
      <c r="A146" s="5">
        <v>10145</v>
      </c>
      <c r="B146" s="1">
        <v>1391</v>
      </c>
      <c r="C146" s="2">
        <v>45245</v>
      </c>
      <c r="D146" s="2">
        <v>45246</v>
      </c>
      <c r="E146" s="1" t="s">
        <v>37</v>
      </c>
      <c r="F146" s="1" t="s">
        <v>38</v>
      </c>
      <c r="G146" s="1" t="s">
        <v>24</v>
      </c>
      <c r="H146" s="1" t="s">
        <v>35</v>
      </c>
      <c r="I146" s="1" t="s">
        <v>57</v>
      </c>
      <c r="J146" s="1" t="s">
        <v>59</v>
      </c>
      <c r="K146" s="1" t="s">
        <v>47</v>
      </c>
      <c r="L146" s="1">
        <v>6</v>
      </c>
      <c r="M146" s="1">
        <v>652.42999999999995</v>
      </c>
      <c r="N146" s="1">
        <v>10</v>
      </c>
      <c r="O146" s="1">
        <v>3523.12</v>
      </c>
      <c r="P146" s="9">
        <f t="shared" si="2"/>
        <v>3914.58</v>
      </c>
      <c r="Q146" s="1"/>
      <c r="R146" s="11"/>
      <c r="S146" s="1"/>
      <c r="T146" s="1"/>
      <c r="U146" s="1"/>
    </row>
    <row r="147" spans="1:21" x14ac:dyDescent="0.3">
      <c r="A147" s="5">
        <v>10146</v>
      </c>
      <c r="B147" s="1">
        <v>1674</v>
      </c>
      <c r="C147" s="2">
        <v>45137</v>
      </c>
      <c r="D147" s="2">
        <v>45145</v>
      </c>
      <c r="E147" s="1" t="s">
        <v>40</v>
      </c>
      <c r="F147" s="1" t="s">
        <v>41</v>
      </c>
      <c r="G147" s="1" t="s">
        <v>30</v>
      </c>
      <c r="H147" s="1" t="s">
        <v>42</v>
      </c>
      <c r="I147" s="1" t="s">
        <v>57</v>
      </c>
      <c r="J147" s="1" t="s">
        <v>62</v>
      </c>
      <c r="K147" s="1" t="s">
        <v>33</v>
      </c>
      <c r="L147" s="1">
        <v>4</v>
      </c>
      <c r="M147" s="1">
        <v>2326.87</v>
      </c>
      <c r="N147" s="1">
        <v>15</v>
      </c>
      <c r="O147" s="1">
        <v>7911.36</v>
      </c>
      <c r="P147" s="9">
        <f t="shared" si="2"/>
        <v>9307.48</v>
      </c>
      <c r="Q147" s="1"/>
      <c r="R147" s="11"/>
      <c r="S147" s="1"/>
      <c r="T147" s="1"/>
      <c r="U147" s="1"/>
    </row>
    <row r="148" spans="1:21" x14ac:dyDescent="0.3">
      <c r="A148" s="5">
        <v>10147</v>
      </c>
      <c r="B148" s="1">
        <v>1418</v>
      </c>
      <c r="C148" s="2">
        <v>45078</v>
      </c>
      <c r="D148" s="2">
        <v>45081</v>
      </c>
      <c r="E148" s="1" t="s">
        <v>22</v>
      </c>
      <c r="F148" s="1" t="s">
        <v>54</v>
      </c>
      <c r="G148" s="1" t="s">
        <v>24</v>
      </c>
      <c r="H148" s="1" t="s">
        <v>25</v>
      </c>
      <c r="I148" s="1" t="s">
        <v>31</v>
      </c>
      <c r="J148" s="1" t="s">
        <v>48</v>
      </c>
      <c r="K148" s="1" t="s">
        <v>21</v>
      </c>
      <c r="L148" s="1">
        <v>6</v>
      </c>
      <c r="M148" s="1">
        <v>1852.67</v>
      </c>
      <c r="N148" s="1">
        <v>5</v>
      </c>
      <c r="O148" s="1">
        <v>10560.22</v>
      </c>
      <c r="P148" s="9">
        <f t="shared" si="2"/>
        <v>11116.02</v>
      </c>
      <c r="Q148" s="1"/>
      <c r="R148" s="11"/>
      <c r="S148" s="1"/>
      <c r="T148" s="1"/>
      <c r="U148" s="1"/>
    </row>
    <row r="149" spans="1:21" x14ac:dyDescent="0.3">
      <c r="A149" s="5">
        <v>10148</v>
      </c>
      <c r="B149" s="1">
        <v>1288</v>
      </c>
      <c r="C149" s="2">
        <v>45035</v>
      </c>
      <c r="D149" s="2">
        <v>45043</v>
      </c>
      <c r="E149" s="1" t="s">
        <v>34</v>
      </c>
      <c r="F149" s="1" t="s">
        <v>29</v>
      </c>
      <c r="G149" s="1" t="s">
        <v>30</v>
      </c>
      <c r="H149" s="1" t="s">
        <v>44</v>
      </c>
      <c r="I149" s="1" t="s">
        <v>19</v>
      </c>
      <c r="J149" s="1" t="s">
        <v>20</v>
      </c>
      <c r="K149" s="1" t="s">
        <v>47</v>
      </c>
      <c r="L149" s="1">
        <v>3</v>
      </c>
      <c r="M149" s="1">
        <v>3219.26</v>
      </c>
      <c r="N149" s="1">
        <v>10</v>
      </c>
      <c r="O149" s="1">
        <v>8692</v>
      </c>
      <c r="P149" s="9">
        <f t="shared" si="2"/>
        <v>9657.7800000000007</v>
      </c>
      <c r="Q149" s="1"/>
      <c r="R149" s="11"/>
      <c r="S149" s="1"/>
      <c r="T149" s="1"/>
      <c r="U149" s="1"/>
    </row>
    <row r="150" spans="1:21" x14ac:dyDescent="0.3">
      <c r="A150" s="5">
        <v>10149</v>
      </c>
      <c r="B150" s="1">
        <v>1378</v>
      </c>
      <c r="C150" s="2">
        <v>45002</v>
      </c>
      <c r="D150" s="2">
        <v>45010</v>
      </c>
      <c r="E150" s="1" t="s">
        <v>22</v>
      </c>
      <c r="F150" s="1" t="s">
        <v>23</v>
      </c>
      <c r="G150" s="1" t="s">
        <v>30</v>
      </c>
      <c r="H150" s="1" t="s">
        <v>42</v>
      </c>
      <c r="I150" s="1" t="s">
        <v>57</v>
      </c>
      <c r="J150" s="1" t="s">
        <v>62</v>
      </c>
      <c r="K150" s="1" t="s">
        <v>33</v>
      </c>
      <c r="L150" s="1">
        <v>8</v>
      </c>
      <c r="M150" s="1">
        <v>2938.3</v>
      </c>
      <c r="N150" s="1">
        <v>15</v>
      </c>
      <c r="O150" s="1">
        <v>19980.439999999999</v>
      </c>
      <c r="P150" s="9">
        <f t="shared" si="2"/>
        <v>23506.400000000001</v>
      </c>
      <c r="Q150" s="1"/>
      <c r="R150" s="11"/>
      <c r="S150" s="1"/>
      <c r="T150" s="1"/>
      <c r="U150" s="1"/>
    </row>
    <row r="151" spans="1:21" x14ac:dyDescent="0.3">
      <c r="A151" s="5">
        <v>10150</v>
      </c>
      <c r="B151" s="1">
        <v>1772</v>
      </c>
      <c r="C151" s="2">
        <v>44956</v>
      </c>
      <c r="D151" s="2">
        <v>44961</v>
      </c>
      <c r="E151" s="1" t="s">
        <v>22</v>
      </c>
      <c r="F151" s="1" t="s">
        <v>54</v>
      </c>
      <c r="G151" s="1" t="s">
        <v>24</v>
      </c>
      <c r="H151" s="1" t="s">
        <v>18</v>
      </c>
      <c r="I151" s="1" t="s">
        <v>49</v>
      </c>
      <c r="J151" s="1" t="s">
        <v>51</v>
      </c>
      <c r="K151" s="1" t="s">
        <v>28</v>
      </c>
      <c r="L151" s="1">
        <v>2</v>
      </c>
      <c r="M151" s="1">
        <v>2808.06</v>
      </c>
      <c r="N151" s="1">
        <v>0</v>
      </c>
      <c r="O151" s="1">
        <v>5616.12</v>
      </c>
      <c r="P151" s="9">
        <f t="shared" si="2"/>
        <v>5616.12</v>
      </c>
      <c r="Q151" s="1"/>
      <c r="R151" s="11"/>
      <c r="S151" s="1"/>
      <c r="T151" s="1"/>
      <c r="U151" s="1"/>
    </row>
    <row r="152" spans="1:21" x14ac:dyDescent="0.3">
      <c r="A152" s="5">
        <v>10151</v>
      </c>
      <c r="B152" s="1">
        <v>1489</v>
      </c>
      <c r="C152" s="2">
        <v>45240</v>
      </c>
      <c r="D152" s="2">
        <v>45241</v>
      </c>
      <c r="E152" s="1" t="s">
        <v>34</v>
      </c>
      <c r="F152" s="1" t="s">
        <v>29</v>
      </c>
      <c r="G152" s="1" t="s">
        <v>30</v>
      </c>
      <c r="H152" s="1" t="s">
        <v>18</v>
      </c>
      <c r="I152" s="1" t="s">
        <v>49</v>
      </c>
      <c r="J152" s="1" t="s">
        <v>63</v>
      </c>
      <c r="K152" s="1" t="s">
        <v>47</v>
      </c>
      <c r="L152" s="1">
        <v>5</v>
      </c>
      <c r="M152" s="1">
        <v>1461.1</v>
      </c>
      <c r="N152" s="1">
        <v>15</v>
      </c>
      <c r="O152" s="1">
        <v>6209.68</v>
      </c>
      <c r="P152" s="9">
        <f t="shared" si="2"/>
        <v>7305.5</v>
      </c>
      <c r="Q152" s="1"/>
      <c r="R152" s="11"/>
      <c r="S152" s="1"/>
      <c r="T152" s="1"/>
      <c r="U152" s="1"/>
    </row>
    <row r="153" spans="1:21" x14ac:dyDescent="0.3">
      <c r="A153" s="5">
        <v>10152</v>
      </c>
      <c r="B153" s="1">
        <v>1230</v>
      </c>
      <c r="C153" s="2">
        <v>45043</v>
      </c>
      <c r="D153" s="2">
        <v>45050</v>
      </c>
      <c r="E153" s="1" t="s">
        <v>37</v>
      </c>
      <c r="F153" s="1" t="s">
        <v>16</v>
      </c>
      <c r="G153" s="1" t="s">
        <v>24</v>
      </c>
      <c r="H153" s="1" t="s">
        <v>44</v>
      </c>
      <c r="I153" s="1" t="s">
        <v>52</v>
      </c>
      <c r="J153" s="1" t="s">
        <v>56</v>
      </c>
      <c r="K153" s="1" t="s">
        <v>47</v>
      </c>
      <c r="L153" s="1">
        <v>1</v>
      </c>
      <c r="M153" s="1">
        <v>3249.11</v>
      </c>
      <c r="N153" s="1">
        <v>10</v>
      </c>
      <c r="O153" s="1">
        <v>2924.2</v>
      </c>
      <c r="P153" s="9">
        <f t="shared" si="2"/>
        <v>3249.11</v>
      </c>
      <c r="Q153" s="1"/>
      <c r="R153" s="11"/>
      <c r="S153" s="1"/>
      <c r="T153" s="1"/>
      <c r="U153" s="1"/>
    </row>
    <row r="154" spans="1:21" x14ac:dyDescent="0.3">
      <c r="A154" s="5">
        <v>10153</v>
      </c>
      <c r="B154" s="1">
        <v>1040</v>
      </c>
      <c r="C154" s="2">
        <v>45282</v>
      </c>
      <c r="D154" s="2">
        <v>45287</v>
      </c>
      <c r="E154" s="1" t="s">
        <v>37</v>
      </c>
      <c r="F154" s="1" t="s">
        <v>29</v>
      </c>
      <c r="G154" s="1" t="s">
        <v>30</v>
      </c>
      <c r="H154" s="1" t="s">
        <v>25</v>
      </c>
      <c r="I154" s="1" t="s">
        <v>19</v>
      </c>
      <c r="J154" s="1" t="s">
        <v>66</v>
      </c>
      <c r="K154" s="1" t="s">
        <v>28</v>
      </c>
      <c r="L154" s="1">
        <v>6</v>
      </c>
      <c r="M154" s="1">
        <v>351.71</v>
      </c>
      <c r="N154" s="1">
        <v>10</v>
      </c>
      <c r="O154" s="1">
        <v>1899.23</v>
      </c>
      <c r="P154" s="9">
        <f t="shared" si="2"/>
        <v>2110.2599999999998</v>
      </c>
      <c r="Q154" s="1"/>
      <c r="R154" s="11"/>
      <c r="S154" s="1"/>
      <c r="T154" s="1"/>
      <c r="U154" s="1"/>
    </row>
    <row r="155" spans="1:21" x14ac:dyDescent="0.3">
      <c r="A155" s="5">
        <v>10154</v>
      </c>
      <c r="B155" s="1">
        <v>1027</v>
      </c>
      <c r="C155" s="2">
        <v>45118</v>
      </c>
      <c r="D155" s="2">
        <v>45126</v>
      </c>
      <c r="E155" s="1" t="s">
        <v>40</v>
      </c>
      <c r="F155" s="1" t="s">
        <v>23</v>
      </c>
      <c r="G155" s="1" t="s">
        <v>17</v>
      </c>
      <c r="H155" s="1" t="s">
        <v>42</v>
      </c>
      <c r="I155" s="1" t="s">
        <v>19</v>
      </c>
      <c r="J155" s="1" t="s">
        <v>43</v>
      </c>
      <c r="K155" s="1" t="s">
        <v>45</v>
      </c>
      <c r="L155" s="1">
        <v>2</v>
      </c>
      <c r="M155" s="1">
        <v>764.56</v>
      </c>
      <c r="N155" s="1">
        <v>0</v>
      </c>
      <c r="O155" s="1">
        <v>1529.12</v>
      </c>
      <c r="P155" s="9">
        <f t="shared" si="2"/>
        <v>1529.12</v>
      </c>
      <c r="Q155" s="1"/>
      <c r="R155" s="11"/>
      <c r="S155" s="1"/>
      <c r="T155" s="1"/>
      <c r="U155" s="1"/>
    </row>
    <row r="156" spans="1:21" x14ac:dyDescent="0.3">
      <c r="A156" s="5">
        <v>10155</v>
      </c>
      <c r="B156" s="1">
        <v>1134</v>
      </c>
      <c r="C156" s="2">
        <v>44945</v>
      </c>
      <c r="D156" s="2">
        <v>44954</v>
      </c>
      <c r="E156" s="1" t="s">
        <v>16</v>
      </c>
      <c r="F156" s="1" t="s">
        <v>29</v>
      </c>
      <c r="G156" s="1" t="s">
        <v>30</v>
      </c>
      <c r="H156" s="1" t="s">
        <v>25</v>
      </c>
      <c r="I156" s="1" t="s">
        <v>52</v>
      </c>
      <c r="J156" s="1" t="s">
        <v>56</v>
      </c>
      <c r="K156" s="1" t="s">
        <v>21</v>
      </c>
      <c r="L156" s="1">
        <v>4</v>
      </c>
      <c r="M156" s="1">
        <v>1442.15</v>
      </c>
      <c r="N156" s="1">
        <v>15</v>
      </c>
      <c r="O156" s="1">
        <v>4903.3100000000004</v>
      </c>
      <c r="P156" s="9">
        <f t="shared" si="2"/>
        <v>5768.6</v>
      </c>
      <c r="Q156" s="1"/>
      <c r="R156" s="11"/>
      <c r="S156" s="1"/>
      <c r="T156" s="1"/>
      <c r="U156" s="1"/>
    </row>
    <row r="157" spans="1:21" x14ac:dyDescent="0.3">
      <c r="A157" s="5">
        <v>10156</v>
      </c>
      <c r="B157" s="1">
        <v>1200</v>
      </c>
      <c r="C157" s="2">
        <v>45099</v>
      </c>
      <c r="D157" s="2">
        <v>45106</v>
      </c>
      <c r="E157" s="1" t="s">
        <v>40</v>
      </c>
      <c r="F157" s="1" t="s">
        <v>38</v>
      </c>
      <c r="G157" s="1" t="s">
        <v>24</v>
      </c>
      <c r="H157" s="1" t="s">
        <v>18</v>
      </c>
      <c r="I157" s="1" t="s">
        <v>57</v>
      </c>
      <c r="J157" s="1" t="s">
        <v>59</v>
      </c>
      <c r="K157" s="1" t="s">
        <v>45</v>
      </c>
      <c r="L157" s="1">
        <v>6</v>
      </c>
      <c r="M157" s="1">
        <v>445.71</v>
      </c>
      <c r="N157" s="1">
        <v>15</v>
      </c>
      <c r="O157" s="1">
        <v>2273.12</v>
      </c>
      <c r="P157" s="9">
        <f t="shared" si="2"/>
        <v>2674.2599999999998</v>
      </c>
      <c r="Q157" s="1"/>
      <c r="R157" s="11"/>
      <c r="S157" s="1"/>
      <c r="T157" s="1"/>
      <c r="U157" s="1"/>
    </row>
    <row r="158" spans="1:21" x14ac:dyDescent="0.3">
      <c r="A158" s="5">
        <v>10157</v>
      </c>
      <c r="B158" s="1">
        <v>1839</v>
      </c>
      <c r="C158" s="2">
        <v>45154</v>
      </c>
      <c r="D158" s="2">
        <v>45161</v>
      </c>
      <c r="E158" s="1" t="s">
        <v>16</v>
      </c>
      <c r="F158" s="1" t="s">
        <v>23</v>
      </c>
      <c r="G158" s="1" t="s">
        <v>30</v>
      </c>
      <c r="H158" s="1" t="s">
        <v>25</v>
      </c>
      <c r="I158" s="1" t="s">
        <v>19</v>
      </c>
      <c r="J158" s="1" t="s">
        <v>20</v>
      </c>
      <c r="K158" s="1" t="s">
        <v>33</v>
      </c>
      <c r="L158" s="1">
        <v>8</v>
      </c>
      <c r="M158" s="1">
        <v>1054.73</v>
      </c>
      <c r="N158" s="1">
        <v>0</v>
      </c>
      <c r="O158" s="1">
        <v>8437.84</v>
      </c>
      <c r="P158" s="9">
        <f t="shared" si="2"/>
        <v>8437.84</v>
      </c>
      <c r="Q158" s="1"/>
      <c r="R158" s="11"/>
      <c r="S158" s="1"/>
      <c r="T158" s="1"/>
      <c r="U158" s="1"/>
    </row>
    <row r="159" spans="1:21" x14ac:dyDescent="0.3">
      <c r="A159" s="5">
        <v>10158</v>
      </c>
      <c r="B159" s="1">
        <v>1779</v>
      </c>
      <c r="C159" s="2">
        <v>45276</v>
      </c>
      <c r="D159" s="2">
        <v>45277</v>
      </c>
      <c r="E159" s="1" t="s">
        <v>22</v>
      </c>
      <c r="F159" s="1" t="s">
        <v>41</v>
      </c>
      <c r="G159" s="1" t="s">
        <v>24</v>
      </c>
      <c r="H159" s="1" t="s">
        <v>18</v>
      </c>
      <c r="I159" s="1" t="s">
        <v>49</v>
      </c>
      <c r="J159" s="1" t="s">
        <v>63</v>
      </c>
      <c r="K159" s="1" t="s">
        <v>28</v>
      </c>
      <c r="L159" s="1">
        <v>8</v>
      </c>
      <c r="M159" s="1">
        <v>3346.08</v>
      </c>
      <c r="N159" s="1">
        <v>15</v>
      </c>
      <c r="O159" s="1">
        <v>22753.34</v>
      </c>
      <c r="P159" s="9">
        <f t="shared" si="2"/>
        <v>26768.639999999999</v>
      </c>
      <c r="Q159" s="1"/>
      <c r="R159" s="11"/>
      <c r="S159" s="1"/>
      <c r="T159" s="1"/>
      <c r="U159" s="1"/>
    </row>
    <row r="160" spans="1:21" x14ac:dyDescent="0.3">
      <c r="A160" s="5">
        <v>10159</v>
      </c>
      <c r="B160" s="1">
        <v>1929</v>
      </c>
      <c r="C160" s="2">
        <v>45109</v>
      </c>
      <c r="D160" s="2">
        <v>45113</v>
      </c>
      <c r="E160" s="1" t="s">
        <v>34</v>
      </c>
      <c r="F160" s="1" t="s">
        <v>16</v>
      </c>
      <c r="G160" s="1" t="s">
        <v>24</v>
      </c>
      <c r="H160" s="1" t="s">
        <v>25</v>
      </c>
      <c r="I160" s="1" t="s">
        <v>49</v>
      </c>
      <c r="J160" s="1" t="s">
        <v>68</v>
      </c>
      <c r="K160" s="1" t="s">
        <v>45</v>
      </c>
      <c r="L160" s="1">
        <v>6</v>
      </c>
      <c r="M160" s="1">
        <v>3800.77</v>
      </c>
      <c r="N160" s="1">
        <v>0</v>
      </c>
      <c r="O160" s="1">
        <v>22804.62</v>
      </c>
      <c r="P160" s="9">
        <f t="shared" si="2"/>
        <v>22804.62</v>
      </c>
      <c r="Q160" s="1"/>
      <c r="R160" s="11"/>
      <c r="S160" s="1"/>
      <c r="T160" s="1"/>
      <c r="U160" s="1"/>
    </row>
    <row r="161" spans="1:21" x14ac:dyDescent="0.3">
      <c r="A161" s="5">
        <v>10160</v>
      </c>
      <c r="B161" s="1">
        <v>1032</v>
      </c>
      <c r="C161" s="2">
        <v>45039</v>
      </c>
      <c r="D161" s="2">
        <v>45041</v>
      </c>
      <c r="E161" s="1" t="s">
        <v>22</v>
      </c>
      <c r="F161" s="1" t="s">
        <v>38</v>
      </c>
      <c r="G161" s="1" t="s">
        <v>17</v>
      </c>
      <c r="H161" s="1" t="s">
        <v>44</v>
      </c>
      <c r="I161" s="1" t="s">
        <v>31</v>
      </c>
      <c r="J161" s="1" t="s">
        <v>48</v>
      </c>
      <c r="K161" s="1" t="s">
        <v>47</v>
      </c>
      <c r="L161" s="1">
        <v>4</v>
      </c>
      <c r="M161" s="1">
        <v>1322.72</v>
      </c>
      <c r="N161" s="1">
        <v>5</v>
      </c>
      <c r="O161" s="1">
        <v>5026.34</v>
      </c>
      <c r="P161" s="9">
        <f t="shared" si="2"/>
        <v>5290.88</v>
      </c>
      <c r="Q161" s="1"/>
      <c r="R161" s="11"/>
      <c r="S161" s="1"/>
      <c r="T161" s="1"/>
      <c r="U161" s="1"/>
    </row>
    <row r="162" spans="1:21" x14ac:dyDescent="0.3">
      <c r="A162" s="5">
        <v>10161</v>
      </c>
      <c r="B162" s="1">
        <v>1047</v>
      </c>
      <c r="C162" s="2">
        <v>45109</v>
      </c>
      <c r="D162" s="2">
        <v>45111</v>
      </c>
      <c r="E162" s="1" t="s">
        <v>46</v>
      </c>
      <c r="F162" s="1" t="s">
        <v>41</v>
      </c>
      <c r="G162" s="1" t="s">
        <v>17</v>
      </c>
      <c r="H162" s="1" t="s">
        <v>35</v>
      </c>
      <c r="I162" s="1" t="s">
        <v>19</v>
      </c>
      <c r="J162" s="1" t="s">
        <v>20</v>
      </c>
      <c r="K162" s="1" t="s">
        <v>33</v>
      </c>
      <c r="L162" s="1">
        <v>8</v>
      </c>
      <c r="M162" s="1">
        <v>1168.3900000000001</v>
      </c>
      <c r="N162" s="1">
        <v>10</v>
      </c>
      <c r="O162" s="1">
        <v>8412.41</v>
      </c>
      <c r="P162" s="9">
        <f t="shared" si="2"/>
        <v>9347.1200000000008</v>
      </c>
      <c r="Q162" s="1"/>
      <c r="R162" s="11"/>
      <c r="S162" s="1"/>
      <c r="T162" s="1"/>
      <c r="U162" s="1"/>
    </row>
    <row r="163" spans="1:21" x14ac:dyDescent="0.3">
      <c r="A163" s="5">
        <v>10162</v>
      </c>
      <c r="B163" s="1">
        <v>1502</v>
      </c>
      <c r="C163" s="2">
        <v>45072</v>
      </c>
      <c r="D163" s="2">
        <v>45074</v>
      </c>
      <c r="E163" s="1" t="s">
        <v>37</v>
      </c>
      <c r="F163" s="1" t="s">
        <v>29</v>
      </c>
      <c r="G163" s="1" t="s">
        <v>24</v>
      </c>
      <c r="H163" s="1" t="s">
        <v>44</v>
      </c>
      <c r="I163" s="1" t="s">
        <v>57</v>
      </c>
      <c r="J163" s="1" t="s">
        <v>58</v>
      </c>
      <c r="K163" s="1" t="s">
        <v>33</v>
      </c>
      <c r="L163" s="1">
        <v>8</v>
      </c>
      <c r="M163" s="1">
        <v>1227.5899999999999</v>
      </c>
      <c r="N163" s="1">
        <v>5</v>
      </c>
      <c r="O163" s="1">
        <v>9329.68</v>
      </c>
      <c r="P163" s="9">
        <f t="shared" si="2"/>
        <v>9820.7199999999993</v>
      </c>
      <c r="Q163" s="1"/>
      <c r="R163" s="11"/>
      <c r="S163" s="1"/>
      <c r="T163" s="1"/>
      <c r="U163" s="1"/>
    </row>
    <row r="164" spans="1:21" x14ac:dyDescent="0.3">
      <c r="A164" s="5">
        <v>10163</v>
      </c>
      <c r="B164" s="1">
        <v>1406</v>
      </c>
      <c r="C164" s="2">
        <v>45245</v>
      </c>
      <c r="D164" s="2">
        <v>45249</v>
      </c>
      <c r="E164" s="1" t="s">
        <v>16</v>
      </c>
      <c r="F164" s="1" t="s">
        <v>23</v>
      </c>
      <c r="G164" s="1" t="s">
        <v>30</v>
      </c>
      <c r="H164" s="1" t="s">
        <v>44</v>
      </c>
      <c r="I164" s="1" t="s">
        <v>52</v>
      </c>
      <c r="J164" s="1" t="s">
        <v>53</v>
      </c>
      <c r="K164" s="1" t="s">
        <v>45</v>
      </c>
      <c r="L164" s="1">
        <v>1</v>
      </c>
      <c r="M164" s="1">
        <v>1219.22</v>
      </c>
      <c r="N164" s="1">
        <v>20</v>
      </c>
      <c r="O164" s="1">
        <v>975.38</v>
      </c>
      <c r="P164" s="9">
        <f t="shared" si="2"/>
        <v>1219.22</v>
      </c>
      <c r="Q164" s="1"/>
      <c r="R164" s="11"/>
      <c r="S164" s="1"/>
      <c r="T164" s="1"/>
      <c r="U164" s="1"/>
    </row>
    <row r="165" spans="1:21" x14ac:dyDescent="0.3">
      <c r="A165" s="5">
        <v>10164</v>
      </c>
      <c r="B165" s="1">
        <v>1573</v>
      </c>
      <c r="C165" s="2">
        <v>45042</v>
      </c>
      <c r="D165" s="2">
        <v>45043</v>
      </c>
      <c r="E165" s="1" t="s">
        <v>40</v>
      </c>
      <c r="F165" s="1" t="s">
        <v>16</v>
      </c>
      <c r="G165" s="1" t="s">
        <v>24</v>
      </c>
      <c r="H165" s="1" t="s">
        <v>35</v>
      </c>
      <c r="I165" s="1" t="s">
        <v>52</v>
      </c>
      <c r="J165" s="1" t="s">
        <v>64</v>
      </c>
      <c r="K165" s="1" t="s">
        <v>45</v>
      </c>
      <c r="L165" s="1">
        <v>4</v>
      </c>
      <c r="M165" s="1">
        <v>288.33</v>
      </c>
      <c r="N165" s="1">
        <v>20</v>
      </c>
      <c r="O165" s="1">
        <v>922.66</v>
      </c>
      <c r="P165" s="9">
        <f t="shared" si="2"/>
        <v>1153.32</v>
      </c>
      <c r="Q165" s="1"/>
      <c r="R165" s="11"/>
      <c r="S165" s="1"/>
      <c r="T165" s="1"/>
      <c r="U165" s="1"/>
    </row>
    <row r="166" spans="1:21" x14ac:dyDescent="0.3">
      <c r="A166" s="5">
        <v>10165</v>
      </c>
      <c r="B166" s="1">
        <v>1727</v>
      </c>
      <c r="C166" s="2">
        <v>45039</v>
      </c>
      <c r="D166" s="2">
        <v>45043</v>
      </c>
      <c r="E166" s="1" t="s">
        <v>34</v>
      </c>
      <c r="F166" s="1" t="s">
        <v>38</v>
      </c>
      <c r="G166" s="1" t="s">
        <v>24</v>
      </c>
      <c r="H166" s="1" t="s">
        <v>35</v>
      </c>
      <c r="I166" s="1" t="s">
        <v>57</v>
      </c>
      <c r="J166" s="1" t="s">
        <v>62</v>
      </c>
      <c r="K166" s="1" t="s">
        <v>28</v>
      </c>
      <c r="L166" s="1">
        <v>4</v>
      </c>
      <c r="M166" s="1">
        <v>3718.63</v>
      </c>
      <c r="N166" s="1">
        <v>20</v>
      </c>
      <c r="O166" s="1">
        <v>11899.62</v>
      </c>
      <c r="P166" s="9">
        <f t="shared" si="2"/>
        <v>14874.52</v>
      </c>
      <c r="Q166" s="1"/>
      <c r="R166" s="11"/>
      <c r="S166" s="1"/>
      <c r="T166" s="1"/>
      <c r="U166" s="1"/>
    </row>
    <row r="167" spans="1:21" x14ac:dyDescent="0.3">
      <c r="A167" s="5">
        <v>10166</v>
      </c>
      <c r="B167" s="1">
        <v>1804</v>
      </c>
      <c r="C167" s="2">
        <v>45177</v>
      </c>
      <c r="D167" s="2">
        <v>45179</v>
      </c>
      <c r="E167" s="1" t="s">
        <v>16</v>
      </c>
      <c r="F167" s="1" t="s">
        <v>41</v>
      </c>
      <c r="G167" s="1" t="s">
        <v>30</v>
      </c>
      <c r="H167" s="1" t="s">
        <v>42</v>
      </c>
      <c r="I167" s="1" t="s">
        <v>26</v>
      </c>
      <c r="J167" s="1" t="s">
        <v>27</v>
      </c>
      <c r="K167" s="1" t="s">
        <v>21</v>
      </c>
      <c r="L167" s="1">
        <v>7</v>
      </c>
      <c r="M167" s="1">
        <v>972.74</v>
      </c>
      <c r="N167" s="1">
        <v>0</v>
      </c>
      <c r="O167" s="1">
        <v>6809.18</v>
      </c>
      <c r="P167" s="9">
        <f t="shared" si="2"/>
        <v>6809.18</v>
      </c>
      <c r="Q167" s="1"/>
      <c r="R167" s="11"/>
      <c r="S167" s="1"/>
      <c r="T167" s="1"/>
      <c r="U167" s="1"/>
    </row>
    <row r="168" spans="1:21" x14ac:dyDescent="0.3">
      <c r="A168" s="5">
        <v>10167</v>
      </c>
      <c r="B168" s="1">
        <v>1098</v>
      </c>
      <c r="C168" s="2">
        <v>45177</v>
      </c>
      <c r="D168" s="2">
        <v>45182</v>
      </c>
      <c r="E168" s="1" t="s">
        <v>40</v>
      </c>
      <c r="F168" s="1" t="s">
        <v>41</v>
      </c>
      <c r="G168" s="1" t="s">
        <v>30</v>
      </c>
      <c r="H168" s="1" t="s">
        <v>42</v>
      </c>
      <c r="I168" s="1" t="s">
        <v>31</v>
      </c>
      <c r="J168" s="1" t="s">
        <v>32</v>
      </c>
      <c r="K168" s="1" t="s">
        <v>45</v>
      </c>
      <c r="L168" s="1">
        <v>7</v>
      </c>
      <c r="M168" s="1">
        <v>1767.02</v>
      </c>
      <c r="N168" s="1">
        <v>15</v>
      </c>
      <c r="O168" s="1">
        <v>10513.77</v>
      </c>
      <c r="P168" s="9">
        <f t="shared" si="2"/>
        <v>12369.14</v>
      </c>
      <c r="Q168" s="1"/>
      <c r="R168" s="11"/>
      <c r="S168" s="1"/>
      <c r="T168" s="1"/>
      <c r="U168" s="1"/>
    </row>
    <row r="169" spans="1:21" x14ac:dyDescent="0.3">
      <c r="A169" s="5">
        <v>10168</v>
      </c>
      <c r="B169" s="1">
        <v>1683</v>
      </c>
      <c r="C169" s="2">
        <v>45229</v>
      </c>
      <c r="D169" s="2">
        <v>45232</v>
      </c>
      <c r="E169" s="1" t="s">
        <v>37</v>
      </c>
      <c r="F169" s="1" t="s">
        <v>16</v>
      </c>
      <c r="G169" s="1" t="s">
        <v>30</v>
      </c>
      <c r="H169" s="1" t="s">
        <v>44</v>
      </c>
      <c r="I169" s="1" t="s">
        <v>52</v>
      </c>
      <c r="J169" s="1" t="s">
        <v>56</v>
      </c>
      <c r="K169" s="1" t="s">
        <v>45</v>
      </c>
      <c r="L169" s="1">
        <v>8</v>
      </c>
      <c r="M169" s="1">
        <v>187.29</v>
      </c>
      <c r="N169" s="1">
        <v>5</v>
      </c>
      <c r="O169" s="1">
        <v>1423.4</v>
      </c>
      <c r="P169" s="9">
        <f t="shared" si="2"/>
        <v>1498.32</v>
      </c>
      <c r="Q169" s="1"/>
      <c r="R169" s="11"/>
      <c r="S169" s="1"/>
      <c r="T169" s="1"/>
      <c r="U169" s="1"/>
    </row>
    <row r="170" spans="1:21" x14ac:dyDescent="0.3">
      <c r="A170" s="5">
        <v>10169</v>
      </c>
      <c r="B170" s="1">
        <v>1871</v>
      </c>
      <c r="C170" s="2">
        <v>45239</v>
      </c>
      <c r="D170" s="2">
        <v>45247</v>
      </c>
      <c r="E170" s="1" t="s">
        <v>22</v>
      </c>
      <c r="F170" s="1" t="s">
        <v>29</v>
      </c>
      <c r="G170" s="1" t="s">
        <v>30</v>
      </c>
      <c r="H170" s="1" t="s">
        <v>44</v>
      </c>
      <c r="I170" s="1" t="s">
        <v>19</v>
      </c>
      <c r="J170" s="1" t="s">
        <v>55</v>
      </c>
      <c r="K170" s="1" t="s">
        <v>47</v>
      </c>
      <c r="L170" s="1">
        <v>5</v>
      </c>
      <c r="M170" s="1">
        <v>3453.13</v>
      </c>
      <c r="N170" s="1">
        <v>5</v>
      </c>
      <c r="O170" s="1">
        <v>16402.37</v>
      </c>
      <c r="P170" s="9">
        <f t="shared" si="2"/>
        <v>17265.650000000001</v>
      </c>
      <c r="Q170" s="1"/>
      <c r="R170" s="11"/>
      <c r="S170" s="1"/>
      <c r="T170" s="1"/>
      <c r="U170" s="1"/>
    </row>
    <row r="171" spans="1:21" x14ac:dyDescent="0.3">
      <c r="A171" s="5">
        <v>10170</v>
      </c>
      <c r="B171" s="1">
        <v>1725</v>
      </c>
      <c r="C171" s="2">
        <v>45044</v>
      </c>
      <c r="D171" s="2">
        <v>45048</v>
      </c>
      <c r="E171" s="1" t="s">
        <v>37</v>
      </c>
      <c r="F171" s="1" t="s">
        <v>16</v>
      </c>
      <c r="G171" s="1" t="s">
        <v>24</v>
      </c>
      <c r="H171" s="1" t="s">
        <v>18</v>
      </c>
      <c r="I171" s="1" t="s">
        <v>31</v>
      </c>
      <c r="J171" s="1" t="s">
        <v>65</v>
      </c>
      <c r="K171" s="1" t="s">
        <v>33</v>
      </c>
      <c r="L171" s="1">
        <v>7</v>
      </c>
      <c r="M171" s="1">
        <v>2964.96</v>
      </c>
      <c r="N171" s="1">
        <v>5</v>
      </c>
      <c r="O171" s="1">
        <v>19716.98</v>
      </c>
      <c r="P171" s="9">
        <f t="shared" si="2"/>
        <v>20754.72</v>
      </c>
      <c r="Q171" s="1"/>
      <c r="R171" s="11"/>
      <c r="S171" s="1"/>
      <c r="T171" s="1"/>
      <c r="U171" s="1"/>
    </row>
    <row r="172" spans="1:21" x14ac:dyDescent="0.3">
      <c r="A172" s="5">
        <v>10171</v>
      </c>
      <c r="B172" s="1">
        <v>1986</v>
      </c>
      <c r="C172" s="2">
        <v>45227</v>
      </c>
      <c r="D172" s="2">
        <v>45228</v>
      </c>
      <c r="E172" s="1" t="s">
        <v>15</v>
      </c>
      <c r="F172" s="1" t="s">
        <v>41</v>
      </c>
      <c r="G172" s="1" t="s">
        <v>24</v>
      </c>
      <c r="H172" s="1" t="s">
        <v>18</v>
      </c>
      <c r="I172" s="1" t="s">
        <v>19</v>
      </c>
      <c r="J172" s="1" t="s">
        <v>43</v>
      </c>
      <c r="K172" s="1" t="s">
        <v>21</v>
      </c>
      <c r="L172" s="1">
        <v>8</v>
      </c>
      <c r="M172" s="1">
        <v>3795.01</v>
      </c>
      <c r="N172" s="1">
        <v>5</v>
      </c>
      <c r="O172" s="1">
        <v>28842.080000000002</v>
      </c>
      <c r="P172" s="9">
        <f t="shared" si="2"/>
        <v>30360.080000000002</v>
      </c>
      <c r="Q172" s="1"/>
      <c r="R172" s="11"/>
      <c r="S172" s="1"/>
      <c r="T172" s="1"/>
      <c r="U172" s="1"/>
    </row>
    <row r="173" spans="1:21" x14ac:dyDescent="0.3">
      <c r="A173" s="5">
        <v>10172</v>
      </c>
      <c r="B173" s="1">
        <v>1546</v>
      </c>
      <c r="C173" s="2">
        <v>45087</v>
      </c>
      <c r="D173" s="2">
        <v>45088</v>
      </c>
      <c r="E173" s="1" t="s">
        <v>46</v>
      </c>
      <c r="F173" s="1" t="s">
        <v>54</v>
      </c>
      <c r="G173" s="1" t="s">
        <v>17</v>
      </c>
      <c r="H173" s="1" t="s">
        <v>42</v>
      </c>
      <c r="I173" s="1" t="s">
        <v>49</v>
      </c>
      <c r="J173" s="1" t="s">
        <v>63</v>
      </c>
      <c r="K173" s="1" t="s">
        <v>47</v>
      </c>
      <c r="L173" s="1">
        <v>9</v>
      </c>
      <c r="M173" s="1">
        <v>3159.22</v>
      </c>
      <c r="N173" s="1">
        <v>20</v>
      </c>
      <c r="O173" s="1">
        <v>22746.38</v>
      </c>
      <c r="P173" s="9">
        <f t="shared" si="2"/>
        <v>28432.98</v>
      </c>
      <c r="Q173" s="1"/>
      <c r="R173" s="11"/>
      <c r="S173" s="1"/>
      <c r="T173" s="1"/>
      <c r="U173" s="1"/>
    </row>
    <row r="174" spans="1:21" x14ac:dyDescent="0.3">
      <c r="A174" s="5">
        <v>10173</v>
      </c>
      <c r="B174" s="1">
        <v>1960</v>
      </c>
      <c r="C174" s="2">
        <v>45124</v>
      </c>
      <c r="D174" s="2">
        <v>45127</v>
      </c>
      <c r="E174" s="1" t="s">
        <v>15</v>
      </c>
      <c r="F174" s="1" t="s">
        <v>38</v>
      </c>
      <c r="G174" s="1" t="s">
        <v>24</v>
      </c>
      <c r="H174" s="1" t="s">
        <v>42</v>
      </c>
      <c r="I174" s="1" t="s">
        <v>31</v>
      </c>
      <c r="J174" s="1" t="s">
        <v>65</v>
      </c>
      <c r="K174" s="1" t="s">
        <v>28</v>
      </c>
      <c r="L174" s="1">
        <v>3</v>
      </c>
      <c r="M174" s="1">
        <v>1357.77</v>
      </c>
      <c r="N174" s="1">
        <v>5</v>
      </c>
      <c r="O174" s="1">
        <v>3869.64</v>
      </c>
      <c r="P174" s="9">
        <f t="shared" si="2"/>
        <v>4073.31</v>
      </c>
      <c r="Q174" s="1"/>
      <c r="R174" s="11"/>
      <c r="S174" s="1"/>
      <c r="T174" s="1"/>
      <c r="U174" s="1"/>
    </row>
    <row r="175" spans="1:21" x14ac:dyDescent="0.3">
      <c r="A175" s="5">
        <v>10174</v>
      </c>
      <c r="B175" s="1">
        <v>1738</v>
      </c>
      <c r="C175" s="2">
        <v>45186</v>
      </c>
      <c r="D175" s="2">
        <v>45195</v>
      </c>
      <c r="E175" s="1" t="s">
        <v>34</v>
      </c>
      <c r="F175" s="1" t="s">
        <v>16</v>
      </c>
      <c r="G175" s="1" t="s">
        <v>30</v>
      </c>
      <c r="H175" s="1" t="s">
        <v>18</v>
      </c>
      <c r="I175" s="1" t="s">
        <v>52</v>
      </c>
      <c r="J175" s="1" t="s">
        <v>53</v>
      </c>
      <c r="K175" s="1" t="s">
        <v>28</v>
      </c>
      <c r="L175" s="1">
        <v>3</v>
      </c>
      <c r="M175" s="1">
        <v>1104.31</v>
      </c>
      <c r="N175" s="1">
        <v>15</v>
      </c>
      <c r="O175" s="1">
        <v>2815.99</v>
      </c>
      <c r="P175" s="9">
        <f t="shared" si="2"/>
        <v>3312.93</v>
      </c>
      <c r="Q175" s="1"/>
      <c r="R175" s="11"/>
      <c r="S175" s="1"/>
      <c r="T175" s="1"/>
      <c r="U175" s="1"/>
    </row>
    <row r="176" spans="1:21" x14ac:dyDescent="0.3">
      <c r="A176" s="5">
        <v>10175</v>
      </c>
      <c r="B176" s="1">
        <v>1612</v>
      </c>
      <c r="C176" s="2">
        <v>45074</v>
      </c>
      <c r="D176" s="2">
        <v>45081</v>
      </c>
      <c r="E176" s="1" t="s">
        <v>16</v>
      </c>
      <c r="F176" s="1" t="s">
        <v>41</v>
      </c>
      <c r="G176" s="1" t="s">
        <v>17</v>
      </c>
      <c r="H176" s="1" t="s">
        <v>18</v>
      </c>
      <c r="I176" s="1" t="s">
        <v>31</v>
      </c>
      <c r="J176" s="1" t="s">
        <v>32</v>
      </c>
      <c r="K176" s="1" t="s">
        <v>45</v>
      </c>
      <c r="L176" s="1">
        <v>4</v>
      </c>
      <c r="M176" s="1">
        <v>2836.21</v>
      </c>
      <c r="N176" s="1">
        <v>20</v>
      </c>
      <c r="O176" s="1">
        <v>9075.8700000000008</v>
      </c>
      <c r="P176" s="9">
        <f t="shared" si="2"/>
        <v>11344.84</v>
      </c>
      <c r="Q176" s="1"/>
      <c r="R176" s="11"/>
      <c r="S176" s="1"/>
      <c r="T176" s="1"/>
      <c r="U176" s="1"/>
    </row>
    <row r="177" spans="1:21" x14ac:dyDescent="0.3">
      <c r="A177" s="5">
        <v>10176</v>
      </c>
      <c r="B177" s="1">
        <v>1942</v>
      </c>
      <c r="C177" s="2">
        <v>45166</v>
      </c>
      <c r="D177" s="2">
        <v>45168</v>
      </c>
      <c r="E177" s="1" t="s">
        <v>34</v>
      </c>
      <c r="F177" s="1" t="s">
        <v>29</v>
      </c>
      <c r="G177" s="1" t="s">
        <v>30</v>
      </c>
      <c r="H177" s="1" t="s">
        <v>25</v>
      </c>
      <c r="I177" s="1" t="s">
        <v>31</v>
      </c>
      <c r="J177" s="1" t="s">
        <v>39</v>
      </c>
      <c r="K177" s="1" t="s">
        <v>45</v>
      </c>
      <c r="L177" s="1">
        <v>5</v>
      </c>
      <c r="M177" s="1">
        <v>1551.83</v>
      </c>
      <c r="N177" s="1">
        <v>5</v>
      </c>
      <c r="O177" s="1">
        <v>7371.19</v>
      </c>
      <c r="P177" s="9">
        <f t="shared" si="2"/>
        <v>7759.15</v>
      </c>
      <c r="Q177" s="1"/>
      <c r="R177" s="11"/>
      <c r="S177" s="1"/>
      <c r="T177" s="1"/>
      <c r="U177" s="1"/>
    </row>
    <row r="178" spans="1:21" x14ac:dyDescent="0.3">
      <c r="A178" s="5">
        <v>10177</v>
      </c>
      <c r="B178" s="1">
        <v>1461</v>
      </c>
      <c r="C178" s="2">
        <v>44973</v>
      </c>
      <c r="D178" s="2">
        <v>44982</v>
      </c>
      <c r="E178" s="1" t="s">
        <v>22</v>
      </c>
      <c r="F178" s="1" t="s">
        <v>41</v>
      </c>
      <c r="G178" s="1" t="s">
        <v>24</v>
      </c>
      <c r="H178" s="1" t="s">
        <v>25</v>
      </c>
      <c r="I178" s="1" t="s">
        <v>31</v>
      </c>
      <c r="J178" s="1" t="s">
        <v>32</v>
      </c>
      <c r="K178" s="1" t="s">
        <v>28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9">
        <f t="shared" si="2"/>
        <v>2329.9299999999998</v>
      </c>
      <c r="Q178" s="1"/>
      <c r="R178" s="11"/>
      <c r="S178" s="1"/>
      <c r="T178" s="1"/>
      <c r="U178" s="1"/>
    </row>
    <row r="179" spans="1:21" x14ac:dyDescent="0.3">
      <c r="A179" s="5">
        <v>10178</v>
      </c>
      <c r="B179" s="1">
        <v>1642</v>
      </c>
      <c r="C179" s="2">
        <v>45124</v>
      </c>
      <c r="D179" s="2">
        <v>45126</v>
      </c>
      <c r="E179" s="1" t="s">
        <v>40</v>
      </c>
      <c r="F179" s="1" t="s">
        <v>29</v>
      </c>
      <c r="G179" s="1" t="s">
        <v>17</v>
      </c>
      <c r="H179" s="1" t="s">
        <v>18</v>
      </c>
      <c r="I179" s="1" t="s">
        <v>26</v>
      </c>
      <c r="J179" s="1" t="s">
        <v>61</v>
      </c>
      <c r="K179" s="1" t="s">
        <v>45</v>
      </c>
      <c r="L179" s="1">
        <v>7</v>
      </c>
      <c r="M179" s="1">
        <v>174.09</v>
      </c>
      <c r="N179" s="1">
        <v>10</v>
      </c>
      <c r="O179" s="1">
        <v>1096.77</v>
      </c>
      <c r="P179" s="9">
        <f t="shared" si="2"/>
        <v>1218.6300000000001</v>
      </c>
      <c r="Q179" s="1"/>
      <c r="R179" s="11"/>
      <c r="S179" s="1"/>
      <c r="T179" s="1"/>
      <c r="U179" s="1"/>
    </row>
    <row r="180" spans="1:21" x14ac:dyDescent="0.3">
      <c r="A180" s="5">
        <v>10179</v>
      </c>
      <c r="B180" s="1">
        <v>1768</v>
      </c>
      <c r="C180" s="2">
        <v>44973</v>
      </c>
      <c r="D180" s="2">
        <v>44976</v>
      </c>
      <c r="E180" s="1" t="s">
        <v>37</v>
      </c>
      <c r="F180" s="1" t="s">
        <v>16</v>
      </c>
      <c r="G180" s="1" t="s">
        <v>30</v>
      </c>
      <c r="H180" s="1" t="s">
        <v>25</v>
      </c>
      <c r="I180" s="1" t="s">
        <v>31</v>
      </c>
      <c r="J180" s="1" t="s">
        <v>32</v>
      </c>
      <c r="K180" s="1" t="s">
        <v>21</v>
      </c>
      <c r="L180" s="1">
        <v>9</v>
      </c>
      <c r="M180" s="1">
        <v>388.26</v>
      </c>
      <c r="N180" s="1">
        <v>10</v>
      </c>
      <c r="O180" s="1">
        <v>3144.91</v>
      </c>
      <c r="P180" s="9">
        <f t="shared" si="2"/>
        <v>3494.34</v>
      </c>
      <c r="Q180" s="1"/>
      <c r="R180" s="11"/>
      <c r="S180" s="1"/>
      <c r="T180" s="1"/>
      <c r="U180" s="1"/>
    </row>
    <row r="181" spans="1:21" x14ac:dyDescent="0.3">
      <c r="A181" s="5">
        <v>10180</v>
      </c>
      <c r="B181" s="1">
        <v>1004</v>
      </c>
      <c r="C181" s="2">
        <v>45004</v>
      </c>
      <c r="D181" s="2">
        <v>45006</v>
      </c>
      <c r="E181" s="1" t="s">
        <v>15</v>
      </c>
      <c r="F181" s="1" t="s">
        <v>29</v>
      </c>
      <c r="G181" s="1" t="s">
        <v>17</v>
      </c>
      <c r="H181" s="1" t="s">
        <v>35</v>
      </c>
      <c r="I181" s="1" t="s">
        <v>19</v>
      </c>
      <c r="J181" s="1" t="s">
        <v>43</v>
      </c>
      <c r="K181" s="1" t="s">
        <v>45</v>
      </c>
      <c r="L181" s="1">
        <v>8</v>
      </c>
      <c r="M181" s="1">
        <v>2211.17</v>
      </c>
      <c r="N181" s="1">
        <v>10</v>
      </c>
      <c r="O181" s="1">
        <v>15920.42</v>
      </c>
      <c r="P181" s="9">
        <f t="shared" si="2"/>
        <v>17689.36</v>
      </c>
      <c r="Q181" s="1"/>
      <c r="R181" s="11"/>
      <c r="S181" s="1"/>
      <c r="T181" s="1"/>
      <c r="U181" s="1"/>
    </row>
    <row r="182" spans="1:21" x14ac:dyDescent="0.3">
      <c r="A182" s="5">
        <v>10181</v>
      </c>
      <c r="B182" s="1">
        <v>1217</v>
      </c>
      <c r="C182" s="2">
        <v>45050</v>
      </c>
      <c r="D182" s="2">
        <v>45053</v>
      </c>
      <c r="E182" s="1" t="s">
        <v>15</v>
      </c>
      <c r="F182" s="1" t="s">
        <v>23</v>
      </c>
      <c r="G182" s="1" t="s">
        <v>17</v>
      </c>
      <c r="H182" s="1" t="s">
        <v>42</v>
      </c>
      <c r="I182" s="1" t="s">
        <v>49</v>
      </c>
      <c r="J182" s="1" t="s">
        <v>50</v>
      </c>
      <c r="K182" s="1" t="s">
        <v>33</v>
      </c>
      <c r="L182" s="1">
        <v>5</v>
      </c>
      <c r="M182" s="1">
        <v>2329.38</v>
      </c>
      <c r="N182" s="1">
        <v>20</v>
      </c>
      <c r="O182" s="1">
        <v>9317.52</v>
      </c>
      <c r="P182" s="9">
        <f t="shared" si="2"/>
        <v>11646.900000000001</v>
      </c>
      <c r="Q182" s="1"/>
      <c r="R182" s="11"/>
      <c r="S182" s="1"/>
      <c r="T182" s="1"/>
      <c r="U182" s="1"/>
    </row>
    <row r="183" spans="1:21" x14ac:dyDescent="0.3">
      <c r="A183" s="5">
        <v>10182</v>
      </c>
      <c r="B183" s="1">
        <v>1502</v>
      </c>
      <c r="C183" s="2">
        <v>45001</v>
      </c>
      <c r="D183" s="2">
        <v>45007</v>
      </c>
      <c r="E183" s="1" t="s">
        <v>22</v>
      </c>
      <c r="F183" s="1" t="s">
        <v>23</v>
      </c>
      <c r="G183" s="1" t="s">
        <v>24</v>
      </c>
      <c r="H183" s="1" t="s">
        <v>42</v>
      </c>
      <c r="I183" s="1" t="s">
        <v>57</v>
      </c>
      <c r="J183" s="1" t="s">
        <v>59</v>
      </c>
      <c r="K183" s="1" t="s">
        <v>45</v>
      </c>
      <c r="L183" s="1">
        <v>4</v>
      </c>
      <c r="M183" s="1">
        <v>3043.09</v>
      </c>
      <c r="N183" s="1">
        <v>5</v>
      </c>
      <c r="O183" s="1">
        <v>11563.74</v>
      </c>
      <c r="P183" s="9">
        <f t="shared" si="2"/>
        <v>12172.36</v>
      </c>
      <c r="Q183" s="1"/>
      <c r="R183" s="11"/>
      <c r="S183" s="1"/>
      <c r="T183" s="1"/>
      <c r="U183" s="1"/>
    </row>
    <row r="184" spans="1:21" x14ac:dyDescent="0.3">
      <c r="A184" s="5">
        <v>10183</v>
      </c>
      <c r="B184" s="1">
        <v>1766</v>
      </c>
      <c r="C184" s="2">
        <v>45285</v>
      </c>
      <c r="D184" s="2">
        <v>45294</v>
      </c>
      <c r="E184" s="1" t="s">
        <v>15</v>
      </c>
      <c r="F184" s="1" t="s">
        <v>23</v>
      </c>
      <c r="G184" s="1" t="s">
        <v>30</v>
      </c>
      <c r="H184" s="1" t="s">
        <v>18</v>
      </c>
      <c r="I184" s="1" t="s">
        <v>31</v>
      </c>
      <c r="J184" s="1" t="s">
        <v>39</v>
      </c>
      <c r="K184" s="1" t="s">
        <v>47</v>
      </c>
      <c r="L184" s="1">
        <v>7</v>
      </c>
      <c r="M184" s="1">
        <v>658.07</v>
      </c>
      <c r="N184" s="1">
        <v>20</v>
      </c>
      <c r="O184" s="1">
        <v>3685.19</v>
      </c>
      <c r="P184" s="9">
        <f t="shared" si="2"/>
        <v>4606.4900000000007</v>
      </c>
      <c r="Q184" s="1"/>
      <c r="R184" s="11"/>
      <c r="S184" s="1"/>
      <c r="T184" s="1"/>
      <c r="U184" s="1"/>
    </row>
    <row r="185" spans="1:21" x14ac:dyDescent="0.3">
      <c r="A185" s="5">
        <v>10184</v>
      </c>
      <c r="B185" s="1">
        <v>1397</v>
      </c>
      <c r="C185" s="2">
        <v>45063</v>
      </c>
      <c r="D185" s="2">
        <v>45072</v>
      </c>
      <c r="E185" s="1" t="s">
        <v>22</v>
      </c>
      <c r="F185" s="1" t="s">
        <v>54</v>
      </c>
      <c r="G185" s="1" t="s">
        <v>17</v>
      </c>
      <c r="H185" s="1" t="s">
        <v>44</v>
      </c>
      <c r="I185" s="1" t="s">
        <v>52</v>
      </c>
      <c r="J185" s="1" t="s">
        <v>64</v>
      </c>
      <c r="K185" s="1" t="s">
        <v>21</v>
      </c>
      <c r="L185" s="1">
        <v>5</v>
      </c>
      <c r="M185" s="1">
        <v>2125.75</v>
      </c>
      <c r="N185" s="1">
        <v>15</v>
      </c>
      <c r="O185" s="1">
        <v>9034.44</v>
      </c>
      <c r="P185" s="9">
        <f t="shared" si="2"/>
        <v>10628.75</v>
      </c>
      <c r="Q185" s="1"/>
      <c r="R185" s="11"/>
      <c r="S185" s="1"/>
      <c r="T185" s="1"/>
      <c r="U185" s="1"/>
    </row>
    <row r="186" spans="1:21" x14ac:dyDescent="0.3">
      <c r="A186" s="5">
        <v>10185</v>
      </c>
      <c r="B186" s="1">
        <v>1870</v>
      </c>
      <c r="C186" s="2">
        <v>45016</v>
      </c>
      <c r="D186" s="2">
        <v>45023</v>
      </c>
      <c r="E186" s="1" t="s">
        <v>34</v>
      </c>
      <c r="F186" s="1" t="s">
        <v>16</v>
      </c>
      <c r="G186" s="1" t="s">
        <v>17</v>
      </c>
      <c r="H186" s="1" t="s">
        <v>18</v>
      </c>
      <c r="I186" s="1" t="s">
        <v>31</v>
      </c>
      <c r="J186" s="1" t="s">
        <v>39</v>
      </c>
      <c r="K186" s="1" t="s">
        <v>47</v>
      </c>
      <c r="L186" s="1">
        <v>7</v>
      </c>
      <c r="M186" s="1">
        <v>898.62</v>
      </c>
      <c r="N186" s="1">
        <v>0</v>
      </c>
      <c r="O186" s="1">
        <v>6290.34</v>
      </c>
      <c r="P186" s="9">
        <f t="shared" si="2"/>
        <v>6290.34</v>
      </c>
      <c r="Q186" s="1"/>
      <c r="R186" s="11"/>
      <c r="S186" s="1"/>
      <c r="T186" s="1"/>
      <c r="U186" s="1"/>
    </row>
    <row r="187" spans="1:21" x14ac:dyDescent="0.3">
      <c r="A187" s="5">
        <v>10186</v>
      </c>
      <c r="B187" s="1">
        <v>1794</v>
      </c>
      <c r="C187" s="2">
        <v>45251</v>
      </c>
      <c r="D187" s="2">
        <v>45254</v>
      </c>
      <c r="E187" s="1" t="s">
        <v>37</v>
      </c>
      <c r="F187" s="1" t="s">
        <v>41</v>
      </c>
      <c r="G187" s="1" t="s">
        <v>30</v>
      </c>
      <c r="H187" s="1" t="s">
        <v>25</v>
      </c>
      <c r="I187" s="1" t="s">
        <v>52</v>
      </c>
      <c r="J187" s="1" t="s">
        <v>56</v>
      </c>
      <c r="K187" s="1" t="s">
        <v>47</v>
      </c>
      <c r="L187" s="1">
        <v>1</v>
      </c>
      <c r="M187" s="1">
        <v>508.81</v>
      </c>
      <c r="N187" s="1">
        <v>0</v>
      </c>
      <c r="O187" s="1">
        <v>508.81</v>
      </c>
      <c r="P187" s="9">
        <f t="shared" si="2"/>
        <v>508.81</v>
      </c>
      <c r="Q187" s="1"/>
      <c r="R187" s="11"/>
      <c r="S187" s="1"/>
      <c r="T187" s="1"/>
      <c r="U187" s="1"/>
    </row>
    <row r="188" spans="1:21" x14ac:dyDescent="0.3">
      <c r="A188" s="5">
        <v>10187</v>
      </c>
      <c r="B188" s="1">
        <v>1392</v>
      </c>
      <c r="C188" s="2">
        <v>44987</v>
      </c>
      <c r="D188" s="2">
        <v>44991</v>
      </c>
      <c r="E188" s="1" t="s">
        <v>16</v>
      </c>
      <c r="F188" s="1" t="s">
        <v>41</v>
      </c>
      <c r="G188" s="1" t="s">
        <v>17</v>
      </c>
      <c r="H188" s="1" t="s">
        <v>44</v>
      </c>
      <c r="I188" s="1" t="s">
        <v>19</v>
      </c>
      <c r="J188" s="1" t="s">
        <v>43</v>
      </c>
      <c r="K188" s="1" t="s">
        <v>33</v>
      </c>
      <c r="L188" s="1">
        <v>1</v>
      </c>
      <c r="M188" s="1">
        <v>1730.41</v>
      </c>
      <c r="N188" s="1">
        <v>10</v>
      </c>
      <c r="O188" s="1">
        <v>1557.37</v>
      </c>
      <c r="P188" s="9">
        <f t="shared" si="2"/>
        <v>1730.41</v>
      </c>
      <c r="Q188" s="1"/>
      <c r="R188" s="11"/>
      <c r="S188" s="1"/>
      <c r="T188" s="1"/>
      <c r="U188" s="1"/>
    </row>
    <row r="189" spans="1:21" x14ac:dyDescent="0.3">
      <c r="A189" s="5">
        <v>10188</v>
      </c>
      <c r="B189" s="1">
        <v>1206</v>
      </c>
      <c r="C189" s="2">
        <v>45064</v>
      </c>
      <c r="D189" s="2">
        <v>45070</v>
      </c>
      <c r="E189" s="1" t="s">
        <v>40</v>
      </c>
      <c r="F189" s="1" t="s">
        <v>54</v>
      </c>
      <c r="G189" s="1" t="s">
        <v>17</v>
      </c>
      <c r="H189" s="1" t="s">
        <v>25</v>
      </c>
      <c r="I189" s="1" t="s">
        <v>52</v>
      </c>
      <c r="J189" s="1" t="s">
        <v>53</v>
      </c>
      <c r="K189" s="1" t="s">
        <v>21</v>
      </c>
      <c r="L189" s="1">
        <v>3</v>
      </c>
      <c r="M189" s="1">
        <v>778.85</v>
      </c>
      <c r="N189" s="1">
        <v>10</v>
      </c>
      <c r="O189" s="1">
        <v>2102.89</v>
      </c>
      <c r="P189" s="9">
        <f t="shared" si="2"/>
        <v>2336.5500000000002</v>
      </c>
      <c r="Q189" s="1"/>
      <c r="R189" s="11"/>
      <c r="S189" s="1"/>
      <c r="T189" s="1"/>
      <c r="U189" s="1"/>
    </row>
    <row r="190" spans="1:21" x14ac:dyDescent="0.3">
      <c r="A190" s="5">
        <v>10189</v>
      </c>
      <c r="B190" s="1">
        <v>1014</v>
      </c>
      <c r="C190" s="2">
        <v>44976</v>
      </c>
      <c r="D190" s="2">
        <v>44981</v>
      </c>
      <c r="E190" s="1" t="s">
        <v>16</v>
      </c>
      <c r="F190" s="1" t="s">
        <v>29</v>
      </c>
      <c r="G190" s="1" t="s">
        <v>17</v>
      </c>
      <c r="H190" s="1" t="s">
        <v>35</v>
      </c>
      <c r="I190" s="1" t="s">
        <v>57</v>
      </c>
      <c r="J190" s="1" t="s">
        <v>62</v>
      </c>
      <c r="K190" s="1" t="s">
        <v>21</v>
      </c>
      <c r="L190" s="1">
        <v>2</v>
      </c>
      <c r="M190" s="1">
        <v>1003.86</v>
      </c>
      <c r="N190" s="1">
        <v>10</v>
      </c>
      <c r="O190" s="1">
        <v>1806.95</v>
      </c>
      <c r="P190" s="9">
        <f t="shared" si="2"/>
        <v>2007.72</v>
      </c>
      <c r="Q190" s="1"/>
      <c r="R190" s="11"/>
      <c r="S190" s="1"/>
      <c r="T190" s="1"/>
      <c r="U190" s="1"/>
    </row>
    <row r="191" spans="1:21" x14ac:dyDescent="0.3">
      <c r="A191" s="5">
        <v>10190</v>
      </c>
      <c r="B191" s="1">
        <v>1857</v>
      </c>
      <c r="C191" s="2">
        <v>45185</v>
      </c>
      <c r="D191" s="2">
        <v>45187</v>
      </c>
      <c r="E191" s="1" t="s">
        <v>34</v>
      </c>
      <c r="F191" s="1" t="s">
        <v>54</v>
      </c>
      <c r="G191" s="1" t="s">
        <v>30</v>
      </c>
      <c r="H191" s="1" t="s">
        <v>25</v>
      </c>
      <c r="I191" s="1" t="s">
        <v>49</v>
      </c>
      <c r="J191" s="1" t="s">
        <v>51</v>
      </c>
      <c r="K191" s="1" t="s">
        <v>21</v>
      </c>
      <c r="L191" s="1">
        <v>2</v>
      </c>
      <c r="M191" s="1">
        <v>1372.59</v>
      </c>
      <c r="N191" s="1">
        <v>5</v>
      </c>
      <c r="O191" s="1">
        <v>2607.92</v>
      </c>
      <c r="P191" s="9">
        <f t="shared" si="2"/>
        <v>2745.18</v>
      </c>
      <c r="Q191" s="1"/>
      <c r="R191" s="11"/>
      <c r="S191" s="1"/>
      <c r="T191" s="1"/>
      <c r="U191" s="1"/>
    </row>
    <row r="192" spans="1:21" x14ac:dyDescent="0.3">
      <c r="A192" s="5">
        <v>10191</v>
      </c>
      <c r="B192" s="1">
        <v>1553</v>
      </c>
      <c r="C192" s="2">
        <v>45033</v>
      </c>
      <c r="D192" s="2">
        <v>45039</v>
      </c>
      <c r="E192" s="1" t="s">
        <v>40</v>
      </c>
      <c r="F192" s="1" t="s">
        <v>29</v>
      </c>
      <c r="G192" s="1" t="s">
        <v>30</v>
      </c>
      <c r="H192" s="1" t="s">
        <v>35</v>
      </c>
      <c r="I192" s="1" t="s">
        <v>52</v>
      </c>
      <c r="J192" s="1" t="s">
        <v>56</v>
      </c>
      <c r="K192" s="1" t="s">
        <v>21</v>
      </c>
      <c r="L192" s="1">
        <v>7</v>
      </c>
      <c r="M192" s="1">
        <v>1148.6500000000001</v>
      </c>
      <c r="N192" s="1">
        <v>15</v>
      </c>
      <c r="O192" s="1">
        <v>6834.47</v>
      </c>
      <c r="P192" s="9">
        <f t="shared" si="2"/>
        <v>8040.5500000000011</v>
      </c>
      <c r="Q192" s="1"/>
      <c r="R192" s="11"/>
      <c r="S192" s="1"/>
      <c r="T192" s="1"/>
      <c r="U192" s="1"/>
    </row>
    <row r="193" spans="1:21" x14ac:dyDescent="0.3">
      <c r="A193" s="5">
        <v>10192</v>
      </c>
      <c r="B193" s="1">
        <v>1891</v>
      </c>
      <c r="C193" s="2">
        <v>45039</v>
      </c>
      <c r="D193" s="2">
        <v>45042</v>
      </c>
      <c r="E193" s="1" t="s">
        <v>15</v>
      </c>
      <c r="F193" s="1" t="s">
        <v>29</v>
      </c>
      <c r="G193" s="1" t="s">
        <v>30</v>
      </c>
      <c r="H193" s="1" t="s">
        <v>35</v>
      </c>
      <c r="I193" s="1" t="s">
        <v>52</v>
      </c>
      <c r="J193" s="1" t="s">
        <v>60</v>
      </c>
      <c r="K193" s="1" t="s">
        <v>21</v>
      </c>
      <c r="L193" s="1">
        <v>2</v>
      </c>
      <c r="M193" s="1">
        <v>487.23</v>
      </c>
      <c r="N193" s="1">
        <v>15</v>
      </c>
      <c r="O193" s="1">
        <v>828.29</v>
      </c>
      <c r="P193" s="9">
        <f t="shared" si="2"/>
        <v>974.46</v>
      </c>
      <c r="Q193" s="1"/>
      <c r="R193" s="11"/>
      <c r="S193" s="1"/>
      <c r="T193" s="1"/>
      <c r="U193" s="1"/>
    </row>
    <row r="194" spans="1:21" x14ac:dyDescent="0.3">
      <c r="A194" s="5">
        <v>10193</v>
      </c>
      <c r="B194" s="1">
        <v>1460</v>
      </c>
      <c r="C194" s="2">
        <v>45276</v>
      </c>
      <c r="D194" s="2">
        <v>45284</v>
      </c>
      <c r="E194" s="1" t="s">
        <v>46</v>
      </c>
      <c r="F194" s="1" t="s">
        <v>38</v>
      </c>
      <c r="G194" s="1" t="s">
        <v>30</v>
      </c>
      <c r="H194" s="1" t="s">
        <v>25</v>
      </c>
      <c r="I194" s="1" t="s">
        <v>49</v>
      </c>
      <c r="J194" s="1" t="s">
        <v>51</v>
      </c>
      <c r="K194" s="1" t="s">
        <v>33</v>
      </c>
      <c r="L194" s="1">
        <v>4</v>
      </c>
      <c r="M194" s="1">
        <v>496.18</v>
      </c>
      <c r="N194" s="1">
        <v>15</v>
      </c>
      <c r="O194" s="1">
        <v>1687.01</v>
      </c>
      <c r="P194" s="9">
        <f t="shared" si="2"/>
        <v>1984.72</v>
      </c>
      <c r="Q194" s="1"/>
      <c r="R194" s="11"/>
      <c r="S194" s="1"/>
      <c r="T194" s="1"/>
      <c r="U194" s="1"/>
    </row>
    <row r="195" spans="1:21" x14ac:dyDescent="0.3">
      <c r="A195" s="5">
        <v>10194</v>
      </c>
      <c r="B195" s="1">
        <v>1690</v>
      </c>
      <c r="C195" s="2">
        <v>45180</v>
      </c>
      <c r="D195" s="2">
        <v>45182</v>
      </c>
      <c r="E195" s="1" t="s">
        <v>34</v>
      </c>
      <c r="F195" s="1" t="s">
        <v>41</v>
      </c>
      <c r="G195" s="1" t="s">
        <v>24</v>
      </c>
      <c r="H195" s="1" t="s">
        <v>25</v>
      </c>
      <c r="I195" s="1" t="s">
        <v>57</v>
      </c>
      <c r="J195" s="1" t="s">
        <v>59</v>
      </c>
      <c r="K195" s="1" t="s">
        <v>45</v>
      </c>
      <c r="L195" s="1">
        <v>2</v>
      </c>
      <c r="M195" s="1">
        <v>894.01</v>
      </c>
      <c r="N195" s="1">
        <v>15</v>
      </c>
      <c r="O195" s="1">
        <v>1519.82</v>
      </c>
      <c r="P195" s="9">
        <f t="shared" ref="P195:P258" si="3">L195*M195</f>
        <v>1788.02</v>
      </c>
      <c r="Q195" s="1"/>
      <c r="R195" s="11"/>
      <c r="S195" s="1"/>
      <c r="T195" s="1"/>
      <c r="U195" s="1"/>
    </row>
    <row r="196" spans="1:21" x14ac:dyDescent="0.3">
      <c r="A196" s="5">
        <v>10195</v>
      </c>
      <c r="B196" s="1">
        <v>1574</v>
      </c>
      <c r="C196" s="2">
        <v>45044</v>
      </c>
      <c r="D196" s="2">
        <v>45045</v>
      </c>
      <c r="E196" s="1" t="s">
        <v>34</v>
      </c>
      <c r="F196" s="1" t="s">
        <v>23</v>
      </c>
      <c r="G196" s="1" t="s">
        <v>17</v>
      </c>
      <c r="H196" s="1" t="s">
        <v>35</v>
      </c>
      <c r="I196" s="1" t="s">
        <v>31</v>
      </c>
      <c r="J196" s="1" t="s">
        <v>65</v>
      </c>
      <c r="K196" s="1" t="s">
        <v>47</v>
      </c>
      <c r="L196" s="1">
        <v>6</v>
      </c>
      <c r="M196" s="1">
        <v>344.65</v>
      </c>
      <c r="N196" s="1">
        <v>10</v>
      </c>
      <c r="O196" s="1">
        <v>1861.11</v>
      </c>
      <c r="P196" s="9">
        <f t="shared" si="3"/>
        <v>2067.8999999999996</v>
      </c>
      <c r="Q196" s="1"/>
      <c r="R196" s="11"/>
      <c r="S196" s="1"/>
      <c r="T196" s="1"/>
      <c r="U196" s="1"/>
    </row>
    <row r="197" spans="1:21" x14ac:dyDescent="0.3">
      <c r="A197" s="5">
        <v>10196</v>
      </c>
      <c r="B197" s="1">
        <v>1863</v>
      </c>
      <c r="C197" s="2">
        <v>45124</v>
      </c>
      <c r="D197" s="2">
        <v>45133</v>
      </c>
      <c r="E197" s="1" t="s">
        <v>37</v>
      </c>
      <c r="F197" s="1" t="s">
        <v>29</v>
      </c>
      <c r="G197" s="1" t="s">
        <v>30</v>
      </c>
      <c r="H197" s="1" t="s">
        <v>44</v>
      </c>
      <c r="I197" s="1" t="s">
        <v>52</v>
      </c>
      <c r="J197" s="1" t="s">
        <v>53</v>
      </c>
      <c r="K197" s="1" t="s">
        <v>21</v>
      </c>
      <c r="L197" s="1">
        <v>8</v>
      </c>
      <c r="M197" s="1">
        <v>2561.86</v>
      </c>
      <c r="N197" s="1">
        <v>0</v>
      </c>
      <c r="O197" s="1">
        <v>20494.88</v>
      </c>
      <c r="P197" s="9">
        <f t="shared" si="3"/>
        <v>20494.88</v>
      </c>
      <c r="Q197" s="1"/>
      <c r="R197" s="11"/>
      <c r="S197" s="1"/>
      <c r="T197" s="1"/>
      <c r="U197" s="1"/>
    </row>
    <row r="198" spans="1:21" x14ac:dyDescent="0.3">
      <c r="A198" s="5">
        <v>10197</v>
      </c>
      <c r="B198" s="1">
        <v>1742</v>
      </c>
      <c r="C198" s="2">
        <v>45263</v>
      </c>
      <c r="D198" s="2">
        <v>45266</v>
      </c>
      <c r="E198" s="1" t="s">
        <v>16</v>
      </c>
      <c r="F198" s="1" t="s">
        <v>38</v>
      </c>
      <c r="G198" s="1" t="s">
        <v>17</v>
      </c>
      <c r="H198" s="1" t="s">
        <v>35</v>
      </c>
      <c r="I198" s="1" t="s">
        <v>49</v>
      </c>
      <c r="J198" s="1" t="s">
        <v>68</v>
      </c>
      <c r="K198" s="1" t="s">
        <v>45</v>
      </c>
      <c r="L198" s="1">
        <v>4</v>
      </c>
      <c r="M198" s="1">
        <v>1256.21</v>
      </c>
      <c r="N198" s="1">
        <v>10</v>
      </c>
      <c r="O198" s="1">
        <v>4522.3599999999997</v>
      </c>
      <c r="P198" s="9">
        <f t="shared" si="3"/>
        <v>5024.84</v>
      </c>
      <c r="Q198" s="1"/>
      <c r="R198" s="11"/>
      <c r="S198" s="1"/>
      <c r="T198" s="1"/>
      <c r="U198" s="1"/>
    </row>
    <row r="199" spans="1:21" x14ac:dyDescent="0.3">
      <c r="A199" s="5">
        <v>10198</v>
      </c>
      <c r="B199" s="1">
        <v>1240</v>
      </c>
      <c r="C199" s="2">
        <v>45291</v>
      </c>
      <c r="D199" s="2">
        <v>45292</v>
      </c>
      <c r="E199" s="1" t="s">
        <v>34</v>
      </c>
      <c r="F199" s="1" t="s">
        <v>41</v>
      </c>
      <c r="G199" s="1" t="s">
        <v>17</v>
      </c>
      <c r="H199" s="1" t="s">
        <v>42</v>
      </c>
      <c r="I199" s="1" t="s">
        <v>19</v>
      </c>
      <c r="J199" s="1" t="s">
        <v>66</v>
      </c>
      <c r="K199" s="1" t="s">
        <v>45</v>
      </c>
      <c r="L199" s="1">
        <v>5</v>
      </c>
      <c r="M199" s="1">
        <v>1227.02</v>
      </c>
      <c r="N199" s="1">
        <v>15</v>
      </c>
      <c r="O199" s="1">
        <v>5214.84</v>
      </c>
      <c r="P199" s="9">
        <f t="shared" si="3"/>
        <v>6135.1</v>
      </c>
      <c r="Q199" s="1"/>
      <c r="R199" s="11"/>
      <c r="S199" s="1"/>
      <c r="T199" s="1"/>
      <c r="U199" s="1"/>
    </row>
    <row r="200" spans="1:21" x14ac:dyDescent="0.3">
      <c r="A200" s="5">
        <v>10199</v>
      </c>
      <c r="B200" s="1">
        <v>1563</v>
      </c>
      <c r="C200" s="2">
        <v>44977</v>
      </c>
      <c r="D200" s="2">
        <v>44984</v>
      </c>
      <c r="E200" s="1" t="s">
        <v>34</v>
      </c>
      <c r="F200" s="1" t="s">
        <v>23</v>
      </c>
      <c r="G200" s="1" t="s">
        <v>24</v>
      </c>
      <c r="H200" s="1" t="s">
        <v>35</v>
      </c>
      <c r="I200" s="1" t="s">
        <v>49</v>
      </c>
      <c r="J200" s="1" t="s">
        <v>51</v>
      </c>
      <c r="K200" s="1" t="s">
        <v>47</v>
      </c>
      <c r="L200" s="1">
        <v>4</v>
      </c>
      <c r="M200" s="1">
        <v>1428.19</v>
      </c>
      <c r="N200" s="1">
        <v>10</v>
      </c>
      <c r="O200" s="1">
        <v>5141.4799999999996</v>
      </c>
      <c r="P200" s="9">
        <f t="shared" si="3"/>
        <v>5712.76</v>
      </c>
      <c r="Q200" s="1"/>
      <c r="R200" s="11"/>
      <c r="S200" s="1"/>
      <c r="T200" s="1"/>
      <c r="U200" s="1"/>
    </row>
    <row r="201" spans="1:21" x14ac:dyDescent="0.3">
      <c r="A201" s="5">
        <v>10200</v>
      </c>
      <c r="B201" s="1">
        <v>1095</v>
      </c>
      <c r="C201" s="2">
        <v>45171</v>
      </c>
      <c r="D201" s="2">
        <v>45176</v>
      </c>
      <c r="E201" s="1" t="s">
        <v>15</v>
      </c>
      <c r="F201" s="1" t="s">
        <v>29</v>
      </c>
      <c r="G201" s="1" t="s">
        <v>30</v>
      </c>
      <c r="H201" s="1" t="s">
        <v>44</v>
      </c>
      <c r="I201" s="1" t="s">
        <v>19</v>
      </c>
      <c r="J201" s="1" t="s">
        <v>66</v>
      </c>
      <c r="K201" s="1" t="s">
        <v>33</v>
      </c>
      <c r="L201" s="1">
        <v>3</v>
      </c>
      <c r="M201" s="1">
        <v>2701.77</v>
      </c>
      <c r="N201" s="1">
        <v>15</v>
      </c>
      <c r="O201" s="1">
        <v>6889.51</v>
      </c>
      <c r="P201" s="9">
        <f t="shared" si="3"/>
        <v>8105.3099999999995</v>
      </c>
      <c r="Q201" s="1"/>
      <c r="R201" s="11"/>
      <c r="S201" s="1"/>
      <c r="T201" s="1"/>
      <c r="U201" s="1"/>
    </row>
    <row r="202" spans="1:21" x14ac:dyDescent="0.3">
      <c r="A202" s="5">
        <v>10201</v>
      </c>
      <c r="B202" s="1">
        <v>1899</v>
      </c>
      <c r="C202" s="2">
        <v>44961</v>
      </c>
      <c r="D202" s="2">
        <v>44966</v>
      </c>
      <c r="E202" s="1" t="s">
        <v>15</v>
      </c>
      <c r="F202" s="1" t="s">
        <v>29</v>
      </c>
      <c r="G202" s="1" t="s">
        <v>30</v>
      </c>
      <c r="H202" s="1" t="s">
        <v>42</v>
      </c>
      <c r="I202" s="1" t="s">
        <v>57</v>
      </c>
      <c r="J202" s="1" t="s">
        <v>59</v>
      </c>
      <c r="K202" s="1" t="s">
        <v>28</v>
      </c>
      <c r="L202" s="1">
        <v>5</v>
      </c>
      <c r="M202" s="1">
        <v>3501.94</v>
      </c>
      <c r="N202" s="1">
        <v>20</v>
      </c>
      <c r="O202" s="1">
        <v>14007.76</v>
      </c>
      <c r="P202" s="9">
        <f t="shared" si="3"/>
        <v>17509.7</v>
      </c>
      <c r="Q202" s="1"/>
      <c r="R202" s="11"/>
      <c r="S202" s="1"/>
      <c r="T202" s="1"/>
      <c r="U202" s="1"/>
    </row>
    <row r="203" spans="1:21" x14ac:dyDescent="0.3">
      <c r="A203" s="5">
        <v>10202</v>
      </c>
      <c r="B203" s="1">
        <v>1733</v>
      </c>
      <c r="C203" s="2">
        <v>45228</v>
      </c>
      <c r="D203" s="2">
        <v>45229</v>
      </c>
      <c r="E203" s="1" t="s">
        <v>40</v>
      </c>
      <c r="F203" s="1" t="s">
        <v>54</v>
      </c>
      <c r="G203" s="1" t="s">
        <v>17</v>
      </c>
      <c r="H203" s="1" t="s">
        <v>18</v>
      </c>
      <c r="I203" s="1" t="s">
        <v>31</v>
      </c>
      <c r="J203" s="1" t="s">
        <v>65</v>
      </c>
      <c r="K203" s="1" t="s">
        <v>28</v>
      </c>
      <c r="L203" s="1">
        <v>9</v>
      </c>
      <c r="M203" s="1">
        <v>3072.48</v>
      </c>
      <c r="N203" s="1">
        <v>0</v>
      </c>
      <c r="O203" s="1">
        <v>27652.32</v>
      </c>
      <c r="P203" s="9">
        <f t="shared" si="3"/>
        <v>27652.32</v>
      </c>
      <c r="Q203" s="1"/>
      <c r="R203" s="11"/>
      <c r="S203" s="1"/>
      <c r="T203" s="1"/>
      <c r="U203" s="1"/>
    </row>
    <row r="204" spans="1:21" x14ac:dyDescent="0.3">
      <c r="A204" s="5">
        <v>10203</v>
      </c>
      <c r="B204" s="1">
        <v>1484</v>
      </c>
      <c r="C204" s="2">
        <v>44995</v>
      </c>
      <c r="D204" s="2">
        <v>45004</v>
      </c>
      <c r="E204" s="1" t="s">
        <v>22</v>
      </c>
      <c r="F204" s="1" t="s">
        <v>54</v>
      </c>
      <c r="G204" s="1" t="s">
        <v>30</v>
      </c>
      <c r="H204" s="1" t="s">
        <v>18</v>
      </c>
      <c r="I204" s="1" t="s">
        <v>49</v>
      </c>
      <c r="J204" s="1" t="s">
        <v>68</v>
      </c>
      <c r="K204" s="1" t="s">
        <v>45</v>
      </c>
      <c r="L204" s="1">
        <v>8</v>
      </c>
      <c r="M204" s="1">
        <v>2950.99</v>
      </c>
      <c r="N204" s="1">
        <v>20</v>
      </c>
      <c r="O204" s="1">
        <v>18886.34</v>
      </c>
      <c r="P204" s="9">
        <f t="shared" si="3"/>
        <v>23607.919999999998</v>
      </c>
      <c r="Q204" s="1"/>
      <c r="R204" s="11"/>
      <c r="S204" s="1"/>
      <c r="T204" s="1"/>
      <c r="U204" s="1"/>
    </row>
    <row r="205" spans="1:21" x14ac:dyDescent="0.3">
      <c r="A205" s="5">
        <v>10204</v>
      </c>
      <c r="B205" s="1">
        <v>1406</v>
      </c>
      <c r="C205" s="2">
        <v>45275</v>
      </c>
      <c r="D205" s="2">
        <v>45282</v>
      </c>
      <c r="E205" s="1" t="s">
        <v>22</v>
      </c>
      <c r="F205" s="1" t="s">
        <v>41</v>
      </c>
      <c r="G205" s="1" t="s">
        <v>17</v>
      </c>
      <c r="H205" s="1" t="s">
        <v>44</v>
      </c>
      <c r="I205" s="1" t="s">
        <v>26</v>
      </c>
      <c r="J205" s="1" t="s">
        <v>27</v>
      </c>
      <c r="K205" s="1" t="s">
        <v>47</v>
      </c>
      <c r="L205" s="1">
        <v>8</v>
      </c>
      <c r="M205" s="1">
        <v>2014.91</v>
      </c>
      <c r="N205" s="1">
        <v>5</v>
      </c>
      <c r="O205" s="1">
        <v>15313.32</v>
      </c>
      <c r="P205" s="9">
        <f t="shared" si="3"/>
        <v>16119.28</v>
      </c>
      <c r="Q205" s="1"/>
      <c r="R205" s="11"/>
      <c r="S205" s="1"/>
      <c r="T205" s="1"/>
      <c r="U205" s="1"/>
    </row>
    <row r="206" spans="1:21" x14ac:dyDescent="0.3">
      <c r="A206" s="5">
        <v>10205</v>
      </c>
      <c r="B206" s="1">
        <v>1230</v>
      </c>
      <c r="C206" s="2">
        <v>45246</v>
      </c>
      <c r="D206" s="2">
        <v>45254</v>
      </c>
      <c r="E206" s="1" t="s">
        <v>46</v>
      </c>
      <c r="F206" s="1" t="s">
        <v>23</v>
      </c>
      <c r="G206" s="1" t="s">
        <v>17</v>
      </c>
      <c r="H206" s="1" t="s">
        <v>35</v>
      </c>
      <c r="I206" s="1" t="s">
        <v>52</v>
      </c>
      <c r="J206" s="1" t="s">
        <v>60</v>
      </c>
      <c r="K206" s="1" t="s">
        <v>28</v>
      </c>
      <c r="L206" s="1">
        <v>8</v>
      </c>
      <c r="M206" s="1">
        <v>2821.15</v>
      </c>
      <c r="N206" s="1">
        <v>10</v>
      </c>
      <c r="O206" s="1">
        <v>20312.28</v>
      </c>
      <c r="P206" s="9">
        <f t="shared" si="3"/>
        <v>22569.200000000001</v>
      </c>
      <c r="Q206" s="1"/>
      <c r="R206" s="11"/>
      <c r="S206" s="1"/>
      <c r="T206" s="1"/>
      <c r="U206" s="1"/>
    </row>
    <row r="207" spans="1:21" x14ac:dyDescent="0.3">
      <c r="A207" s="5">
        <v>10206</v>
      </c>
      <c r="B207" s="1">
        <v>1748</v>
      </c>
      <c r="C207" s="2">
        <v>44975</v>
      </c>
      <c r="D207" s="2">
        <v>44984</v>
      </c>
      <c r="E207" s="1" t="s">
        <v>22</v>
      </c>
      <c r="F207" s="1" t="s">
        <v>29</v>
      </c>
      <c r="G207" s="1" t="s">
        <v>24</v>
      </c>
      <c r="H207" s="1" t="s">
        <v>25</v>
      </c>
      <c r="I207" s="1" t="s">
        <v>57</v>
      </c>
      <c r="J207" s="1" t="s">
        <v>59</v>
      </c>
      <c r="K207" s="1" t="s">
        <v>45</v>
      </c>
      <c r="L207" s="1">
        <v>8</v>
      </c>
      <c r="M207" s="1">
        <v>2278.14</v>
      </c>
      <c r="N207" s="1">
        <v>5</v>
      </c>
      <c r="O207" s="1">
        <v>17313.86</v>
      </c>
      <c r="P207" s="9">
        <f t="shared" si="3"/>
        <v>18225.12</v>
      </c>
      <c r="Q207" s="1"/>
      <c r="R207" s="11"/>
      <c r="S207" s="1"/>
      <c r="T207" s="1"/>
      <c r="U207" s="1"/>
    </row>
    <row r="208" spans="1:21" x14ac:dyDescent="0.3">
      <c r="A208" s="5">
        <v>10207</v>
      </c>
      <c r="B208" s="1">
        <v>1654</v>
      </c>
      <c r="C208" s="2">
        <v>45000</v>
      </c>
      <c r="D208" s="2">
        <v>45006</v>
      </c>
      <c r="E208" s="1" t="s">
        <v>37</v>
      </c>
      <c r="F208" s="1" t="s">
        <v>41</v>
      </c>
      <c r="G208" s="1" t="s">
        <v>24</v>
      </c>
      <c r="H208" s="1" t="s">
        <v>44</v>
      </c>
      <c r="I208" s="1" t="s">
        <v>49</v>
      </c>
      <c r="J208" s="1" t="s">
        <v>51</v>
      </c>
      <c r="K208" s="1" t="s">
        <v>33</v>
      </c>
      <c r="L208" s="1">
        <v>7</v>
      </c>
      <c r="M208" s="1">
        <v>982.56</v>
      </c>
      <c r="N208" s="1">
        <v>10</v>
      </c>
      <c r="O208" s="1">
        <v>6190.13</v>
      </c>
      <c r="P208" s="9">
        <f t="shared" si="3"/>
        <v>6877.92</v>
      </c>
      <c r="Q208" s="1"/>
      <c r="R208" s="11"/>
      <c r="S208" s="1"/>
      <c r="T208" s="1"/>
      <c r="U208" s="1"/>
    </row>
    <row r="209" spans="1:21" x14ac:dyDescent="0.3">
      <c r="A209" s="5">
        <v>10208</v>
      </c>
      <c r="B209" s="1">
        <v>1170</v>
      </c>
      <c r="C209" s="2">
        <v>45118</v>
      </c>
      <c r="D209" s="2">
        <v>45123</v>
      </c>
      <c r="E209" s="1" t="s">
        <v>46</v>
      </c>
      <c r="F209" s="1" t="s">
        <v>41</v>
      </c>
      <c r="G209" s="1" t="s">
        <v>24</v>
      </c>
      <c r="H209" s="1" t="s">
        <v>42</v>
      </c>
      <c r="I209" s="1" t="s">
        <v>52</v>
      </c>
      <c r="J209" s="1" t="s">
        <v>53</v>
      </c>
      <c r="K209" s="1" t="s">
        <v>28</v>
      </c>
      <c r="L209" s="1">
        <v>8</v>
      </c>
      <c r="M209" s="1">
        <v>953.07</v>
      </c>
      <c r="N209" s="1">
        <v>20</v>
      </c>
      <c r="O209" s="1">
        <v>6099.65</v>
      </c>
      <c r="P209" s="9">
        <f t="shared" si="3"/>
        <v>7624.56</v>
      </c>
      <c r="Q209" s="1"/>
      <c r="R209" s="11"/>
      <c r="S209" s="1"/>
      <c r="T209" s="1"/>
      <c r="U209" s="1"/>
    </row>
    <row r="210" spans="1:21" x14ac:dyDescent="0.3">
      <c r="A210" s="5">
        <v>10209</v>
      </c>
      <c r="B210" s="1">
        <v>1540</v>
      </c>
      <c r="C210" s="2">
        <v>45187</v>
      </c>
      <c r="D210" s="2">
        <v>45193</v>
      </c>
      <c r="E210" s="1" t="s">
        <v>40</v>
      </c>
      <c r="F210" s="1" t="s">
        <v>16</v>
      </c>
      <c r="G210" s="1" t="s">
        <v>17</v>
      </c>
      <c r="H210" s="1" t="s">
        <v>42</v>
      </c>
      <c r="I210" s="1" t="s">
        <v>49</v>
      </c>
      <c r="J210" s="1" t="s">
        <v>50</v>
      </c>
      <c r="K210" s="1" t="s">
        <v>45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9">
        <f t="shared" si="3"/>
        <v>10328.879999999999</v>
      </c>
      <c r="Q210" s="1"/>
      <c r="R210" s="11"/>
      <c r="S210" s="1"/>
      <c r="T210" s="1"/>
      <c r="U210" s="1"/>
    </row>
    <row r="211" spans="1:21" x14ac:dyDescent="0.3">
      <c r="A211" s="5">
        <v>10210</v>
      </c>
      <c r="B211" s="1">
        <v>1035</v>
      </c>
      <c r="C211" s="2">
        <v>45282</v>
      </c>
      <c r="D211" s="2">
        <v>45284</v>
      </c>
      <c r="E211" s="1" t="s">
        <v>15</v>
      </c>
      <c r="F211" s="1" t="s">
        <v>54</v>
      </c>
      <c r="G211" s="1" t="s">
        <v>30</v>
      </c>
      <c r="H211" s="1" t="s">
        <v>18</v>
      </c>
      <c r="I211" s="1" t="s">
        <v>19</v>
      </c>
      <c r="J211" s="1" t="s">
        <v>20</v>
      </c>
      <c r="K211" s="1" t="s">
        <v>45</v>
      </c>
      <c r="L211" s="1">
        <v>8</v>
      </c>
      <c r="M211" s="1">
        <v>3656.59</v>
      </c>
      <c r="N211" s="1">
        <v>15</v>
      </c>
      <c r="O211" s="1">
        <v>24864.81</v>
      </c>
      <c r="P211" s="9">
        <f t="shared" si="3"/>
        <v>29252.720000000001</v>
      </c>
      <c r="Q211" s="1"/>
      <c r="R211" s="11"/>
      <c r="S211" s="1"/>
      <c r="T211" s="1"/>
      <c r="U211" s="1"/>
    </row>
    <row r="212" spans="1:21" x14ac:dyDescent="0.3">
      <c r="A212" s="5">
        <v>10211</v>
      </c>
      <c r="B212" s="1">
        <v>1524</v>
      </c>
      <c r="C212" s="2">
        <v>44996</v>
      </c>
      <c r="D212" s="2">
        <v>45000</v>
      </c>
      <c r="E212" s="1" t="s">
        <v>22</v>
      </c>
      <c r="F212" s="1" t="s">
        <v>23</v>
      </c>
      <c r="G212" s="1" t="s">
        <v>24</v>
      </c>
      <c r="H212" s="1" t="s">
        <v>42</v>
      </c>
      <c r="I212" s="1" t="s">
        <v>49</v>
      </c>
      <c r="J212" s="1" t="s">
        <v>51</v>
      </c>
      <c r="K212" s="1" t="s">
        <v>21</v>
      </c>
      <c r="L212" s="1">
        <v>7</v>
      </c>
      <c r="M212" s="1">
        <v>2257.5500000000002</v>
      </c>
      <c r="N212" s="1">
        <v>10</v>
      </c>
      <c r="O212" s="1">
        <v>14222.56</v>
      </c>
      <c r="P212" s="9">
        <f t="shared" si="3"/>
        <v>15802.850000000002</v>
      </c>
      <c r="Q212" s="1"/>
      <c r="R212" s="11"/>
      <c r="S212" s="1"/>
      <c r="T212" s="1"/>
      <c r="U212" s="1"/>
    </row>
    <row r="213" spans="1:21" x14ac:dyDescent="0.3">
      <c r="A213" s="5">
        <v>10212</v>
      </c>
      <c r="B213" s="1">
        <v>1159</v>
      </c>
      <c r="C213" s="2">
        <v>45016</v>
      </c>
      <c r="D213" s="2">
        <v>45019</v>
      </c>
      <c r="E213" s="1" t="s">
        <v>16</v>
      </c>
      <c r="F213" s="1" t="s">
        <v>29</v>
      </c>
      <c r="G213" s="1" t="s">
        <v>30</v>
      </c>
      <c r="H213" s="1" t="s">
        <v>44</v>
      </c>
      <c r="I213" s="1" t="s">
        <v>26</v>
      </c>
      <c r="J213" s="1" t="s">
        <v>61</v>
      </c>
      <c r="K213" s="1" t="s">
        <v>33</v>
      </c>
      <c r="L213" s="1">
        <v>1</v>
      </c>
      <c r="M213" s="1">
        <v>2975.54</v>
      </c>
      <c r="N213" s="1">
        <v>15</v>
      </c>
      <c r="O213" s="1">
        <v>2529.21</v>
      </c>
      <c r="P213" s="9">
        <f t="shared" si="3"/>
        <v>2975.54</v>
      </c>
      <c r="Q213" s="1"/>
      <c r="R213" s="11"/>
      <c r="S213" s="1"/>
      <c r="T213" s="1"/>
      <c r="U213" s="1"/>
    </row>
    <row r="214" spans="1:21" x14ac:dyDescent="0.3">
      <c r="A214" s="5">
        <v>10213</v>
      </c>
      <c r="B214" s="1">
        <v>1838</v>
      </c>
      <c r="C214" s="2">
        <v>45186</v>
      </c>
      <c r="D214" s="2">
        <v>45193</v>
      </c>
      <c r="E214" s="1" t="s">
        <v>15</v>
      </c>
      <c r="F214" s="1" t="s">
        <v>41</v>
      </c>
      <c r="G214" s="1" t="s">
        <v>24</v>
      </c>
      <c r="H214" s="1" t="s">
        <v>42</v>
      </c>
      <c r="I214" s="1" t="s">
        <v>49</v>
      </c>
      <c r="J214" s="1" t="s">
        <v>63</v>
      </c>
      <c r="K214" s="1" t="s">
        <v>21</v>
      </c>
      <c r="L214" s="1">
        <v>4</v>
      </c>
      <c r="M214" s="1">
        <v>1484.25</v>
      </c>
      <c r="N214" s="1">
        <v>20</v>
      </c>
      <c r="O214" s="1">
        <v>4749.6000000000004</v>
      </c>
      <c r="P214" s="9">
        <f t="shared" si="3"/>
        <v>5937</v>
      </c>
      <c r="Q214" s="1"/>
      <c r="R214" s="11"/>
      <c r="S214" s="1"/>
      <c r="T214" s="1"/>
      <c r="U214" s="1"/>
    </row>
    <row r="215" spans="1:21" x14ac:dyDescent="0.3">
      <c r="A215" s="5">
        <v>10214</v>
      </c>
      <c r="B215" s="1">
        <v>1698</v>
      </c>
      <c r="C215" s="2">
        <v>45052</v>
      </c>
      <c r="D215" s="2">
        <v>45061</v>
      </c>
      <c r="E215" s="1" t="s">
        <v>37</v>
      </c>
      <c r="F215" s="1" t="s">
        <v>29</v>
      </c>
      <c r="G215" s="1" t="s">
        <v>24</v>
      </c>
      <c r="H215" s="1" t="s">
        <v>44</v>
      </c>
      <c r="I215" s="1" t="s">
        <v>49</v>
      </c>
      <c r="J215" s="1" t="s">
        <v>63</v>
      </c>
      <c r="K215" s="1" t="s">
        <v>47</v>
      </c>
      <c r="L215" s="1">
        <v>4</v>
      </c>
      <c r="M215" s="1">
        <v>1719.71</v>
      </c>
      <c r="N215" s="1">
        <v>15</v>
      </c>
      <c r="O215" s="1">
        <v>5847.01</v>
      </c>
      <c r="P215" s="9">
        <f t="shared" si="3"/>
        <v>6878.84</v>
      </c>
      <c r="Q215" s="1"/>
      <c r="R215" s="11"/>
      <c r="S215" s="1"/>
      <c r="T215" s="1"/>
      <c r="U215" s="1"/>
    </row>
    <row r="216" spans="1:21" x14ac:dyDescent="0.3">
      <c r="A216" s="5">
        <v>10215</v>
      </c>
      <c r="B216" s="1">
        <v>1242</v>
      </c>
      <c r="C216" s="2">
        <v>45157</v>
      </c>
      <c r="D216" s="2">
        <v>45162</v>
      </c>
      <c r="E216" s="1" t="s">
        <v>15</v>
      </c>
      <c r="F216" s="1" t="s">
        <v>16</v>
      </c>
      <c r="G216" s="1" t="s">
        <v>17</v>
      </c>
      <c r="H216" s="1" t="s">
        <v>25</v>
      </c>
      <c r="I216" s="1" t="s">
        <v>26</v>
      </c>
      <c r="J216" s="1" t="s">
        <v>27</v>
      </c>
      <c r="K216" s="1" t="s">
        <v>21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9">
        <f t="shared" si="3"/>
        <v>3167.1499999999996</v>
      </c>
      <c r="Q216" s="1"/>
      <c r="R216" s="11"/>
      <c r="S216" s="1"/>
      <c r="T216" s="1"/>
      <c r="U216" s="1"/>
    </row>
    <row r="217" spans="1:21" x14ac:dyDescent="0.3">
      <c r="A217" s="5">
        <v>10216</v>
      </c>
      <c r="B217" s="1">
        <v>1085</v>
      </c>
      <c r="C217" s="2">
        <v>45221</v>
      </c>
      <c r="D217" s="2">
        <v>45227</v>
      </c>
      <c r="E217" s="1" t="s">
        <v>37</v>
      </c>
      <c r="F217" s="1" t="s">
        <v>23</v>
      </c>
      <c r="G217" s="1" t="s">
        <v>24</v>
      </c>
      <c r="H217" s="1" t="s">
        <v>18</v>
      </c>
      <c r="I217" s="1" t="s">
        <v>57</v>
      </c>
      <c r="J217" s="1" t="s">
        <v>67</v>
      </c>
      <c r="K217" s="1" t="s">
        <v>21</v>
      </c>
      <c r="L217" s="1">
        <v>6</v>
      </c>
      <c r="M217" s="1">
        <v>809.49</v>
      </c>
      <c r="N217" s="1">
        <v>5</v>
      </c>
      <c r="O217" s="1">
        <v>4614.09</v>
      </c>
      <c r="P217" s="9">
        <f t="shared" si="3"/>
        <v>4856.9400000000005</v>
      </c>
      <c r="Q217" s="1"/>
      <c r="R217" s="11"/>
      <c r="S217" s="1"/>
      <c r="T217" s="1"/>
      <c r="U217" s="1"/>
    </row>
    <row r="218" spans="1:21" x14ac:dyDescent="0.3">
      <c r="A218" s="5">
        <v>10217</v>
      </c>
      <c r="B218" s="1">
        <v>1795</v>
      </c>
      <c r="C218" s="2">
        <v>45055</v>
      </c>
      <c r="D218" s="2">
        <v>45057</v>
      </c>
      <c r="E218" s="1" t="s">
        <v>37</v>
      </c>
      <c r="F218" s="1" t="s">
        <v>41</v>
      </c>
      <c r="G218" s="1" t="s">
        <v>24</v>
      </c>
      <c r="H218" s="1" t="s">
        <v>42</v>
      </c>
      <c r="I218" s="1" t="s">
        <v>49</v>
      </c>
      <c r="J218" s="1" t="s">
        <v>50</v>
      </c>
      <c r="K218" s="1" t="s">
        <v>28</v>
      </c>
      <c r="L218" s="1">
        <v>4</v>
      </c>
      <c r="M218" s="1">
        <v>3335.32</v>
      </c>
      <c r="N218" s="1">
        <v>20</v>
      </c>
      <c r="O218" s="1">
        <v>10673.02</v>
      </c>
      <c r="P218" s="9">
        <f t="shared" si="3"/>
        <v>13341.28</v>
      </c>
      <c r="Q218" s="1"/>
      <c r="R218" s="11"/>
      <c r="S218" s="1"/>
      <c r="T218" s="1"/>
      <c r="U218" s="1"/>
    </row>
    <row r="219" spans="1:21" x14ac:dyDescent="0.3">
      <c r="A219" s="5">
        <v>10218</v>
      </c>
      <c r="B219" s="1">
        <v>1577</v>
      </c>
      <c r="C219" s="2">
        <v>45206</v>
      </c>
      <c r="D219" s="2">
        <v>45209</v>
      </c>
      <c r="E219" s="1" t="s">
        <v>37</v>
      </c>
      <c r="F219" s="1" t="s">
        <v>29</v>
      </c>
      <c r="G219" s="1" t="s">
        <v>17</v>
      </c>
      <c r="H219" s="1" t="s">
        <v>44</v>
      </c>
      <c r="I219" s="1" t="s">
        <v>26</v>
      </c>
      <c r="J219" s="1" t="s">
        <v>69</v>
      </c>
      <c r="K219" s="1" t="s">
        <v>45</v>
      </c>
      <c r="L219" s="1">
        <v>2</v>
      </c>
      <c r="M219" s="1">
        <v>2401.63</v>
      </c>
      <c r="N219" s="1">
        <v>0</v>
      </c>
      <c r="O219" s="1">
        <v>4803.26</v>
      </c>
      <c r="P219" s="9">
        <f t="shared" si="3"/>
        <v>4803.26</v>
      </c>
      <c r="Q219" s="1"/>
      <c r="R219" s="11"/>
      <c r="S219" s="1"/>
      <c r="T219" s="1"/>
      <c r="U219" s="1"/>
    </row>
    <row r="220" spans="1:21" x14ac:dyDescent="0.3">
      <c r="A220" s="5">
        <v>10219</v>
      </c>
      <c r="B220" s="1">
        <v>1681</v>
      </c>
      <c r="C220" s="2">
        <v>45239</v>
      </c>
      <c r="D220" s="2">
        <v>45242</v>
      </c>
      <c r="E220" s="1" t="s">
        <v>40</v>
      </c>
      <c r="F220" s="1" t="s">
        <v>54</v>
      </c>
      <c r="G220" s="1" t="s">
        <v>30</v>
      </c>
      <c r="H220" s="1" t="s">
        <v>35</v>
      </c>
      <c r="I220" s="1" t="s">
        <v>52</v>
      </c>
      <c r="J220" s="1" t="s">
        <v>64</v>
      </c>
      <c r="K220" s="1" t="s">
        <v>33</v>
      </c>
      <c r="L220" s="1">
        <v>6</v>
      </c>
      <c r="M220" s="1">
        <v>1449.5</v>
      </c>
      <c r="N220" s="1">
        <v>0</v>
      </c>
      <c r="O220" s="1">
        <v>8697</v>
      </c>
      <c r="P220" s="9">
        <f t="shared" si="3"/>
        <v>8697</v>
      </c>
      <c r="Q220" s="1"/>
      <c r="R220" s="11"/>
      <c r="S220" s="1"/>
      <c r="T220" s="1"/>
      <c r="U220" s="1"/>
    </row>
    <row r="221" spans="1:21" x14ac:dyDescent="0.3">
      <c r="A221" s="5">
        <v>10220</v>
      </c>
      <c r="B221" s="1">
        <v>1556</v>
      </c>
      <c r="C221" s="2">
        <v>45026</v>
      </c>
      <c r="D221" s="2">
        <v>45035</v>
      </c>
      <c r="E221" s="1" t="s">
        <v>37</v>
      </c>
      <c r="F221" s="1" t="s">
        <v>16</v>
      </c>
      <c r="G221" s="1" t="s">
        <v>24</v>
      </c>
      <c r="H221" s="1" t="s">
        <v>18</v>
      </c>
      <c r="I221" s="1" t="s">
        <v>19</v>
      </c>
      <c r="J221" s="1" t="s">
        <v>55</v>
      </c>
      <c r="K221" s="1" t="s">
        <v>21</v>
      </c>
      <c r="L221" s="1">
        <v>8</v>
      </c>
      <c r="M221" s="1">
        <v>3240.98</v>
      </c>
      <c r="N221" s="1">
        <v>0</v>
      </c>
      <c r="O221" s="1">
        <v>25927.84</v>
      </c>
      <c r="P221" s="9">
        <f t="shared" si="3"/>
        <v>25927.84</v>
      </c>
      <c r="Q221" s="1"/>
      <c r="R221" s="11"/>
      <c r="S221" s="1"/>
      <c r="T221" s="1"/>
      <c r="U221" s="1"/>
    </row>
    <row r="222" spans="1:21" x14ac:dyDescent="0.3">
      <c r="A222" s="5">
        <v>10221</v>
      </c>
      <c r="B222" s="1">
        <v>1573</v>
      </c>
      <c r="C222" s="2">
        <v>45252</v>
      </c>
      <c r="D222" s="2">
        <v>45259</v>
      </c>
      <c r="E222" s="1" t="s">
        <v>37</v>
      </c>
      <c r="F222" s="1" t="s">
        <v>23</v>
      </c>
      <c r="G222" s="1" t="s">
        <v>17</v>
      </c>
      <c r="H222" s="1" t="s">
        <v>25</v>
      </c>
      <c r="I222" s="1" t="s">
        <v>19</v>
      </c>
      <c r="J222" s="1" t="s">
        <v>20</v>
      </c>
      <c r="K222" s="1" t="s">
        <v>33</v>
      </c>
      <c r="L222" s="1">
        <v>8</v>
      </c>
      <c r="M222" s="1">
        <v>1099.0999999999999</v>
      </c>
      <c r="N222" s="1">
        <v>10</v>
      </c>
      <c r="O222" s="1">
        <v>7913.52</v>
      </c>
      <c r="P222" s="9">
        <f t="shared" si="3"/>
        <v>8792.7999999999993</v>
      </c>
      <c r="Q222" s="1"/>
      <c r="R222" s="11"/>
      <c r="S222" s="1"/>
      <c r="T222" s="1"/>
      <c r="U222" s="1"/>
    </row>
    <row r="223" spans="1:21" x14ac:dyDescent="0.3">
      <c r="A223" s="5">
        <v>10222</v>
      </c>
      <c r="B223" s="1">
        <v>1952</v>
      </c>
      <c r="C223" s="2">
        <v>45223</v>
      </c>
      <c r="D223" s="2">
        <v>45231</v>
      </c>
      <c r="E223" s="1" t="s">
        <v>16</v>
      </c>
      <c r="F223" s="1" t="s">
        <v>16</v>
      </c>
      <c r="G223" s="1" t="s">
        <v>24</v>
      </c>
      <c r="H223" s="1" t="s">
        <v>44</v>
      </c>
      <c r="I223" s="1" t="s">
        <v>49</v>
      </c>
      <c r="J223" s="1" t="s">
        <v>51</v>
      </c>
      <c r="K223" s="1" t="s">
        <v>21</v>
      </c>
      <c r="L223" s="1">
        <v>7</v>
      </c>
      <c r="M223" s="1">
        <v>3907.73</v>
      </c>
      <c r="N223" s="1">
        <v>10</v>
      </c>
      <c r="O223" s="1">
        <v>24618.7</v>
      </c>
      <c r="P223" s="9">
        <f t="shared" si="3"/>
        <v>27354.11</v>
      </c>
      <c r="Q223" s="1"/>
      <c r="R223" s="11"/>
      <c r="S223" s="1"/>
      <c r="T223" s="1"/>
      <c r="U223" s="1"/>
    </row>
    <row r="224" spans="1:21" x14ac:dyDescent="0.3">
      <c r="A224" s="5">
        <v>10223</v>
      </c>
      <c r="B224" s="1">
        <v>1645</v>
      </c>
      <c r="C224" s="2">
        <v>45108</v>
      </c>
      <c r="D224" s="2">
        <v>45117</v>
      </c>
      <c r="E224" s="1" t="s">
        <v>46</v>
      </c>
      <c r="F224" s="1" t="s">
        <v>54</v>
      </c>
      <c r="G224" s="1" t="s">
        <v>17</v>
      </c>
      <c r="H224" s="1" t="s">
        <v>25</v>
      </c>
      <c r="I224" s="1" t="s">
        <v>57</v>
      </c>
      <c r="J224" s="1" t="s">
        <v>59</v>
      </c>
      <c r="K224" s="1" t="s">
        <v>47</v>
      </c>
      <c r="L224" s="1">
        <v>6</v>
      </c>
      <c r="M224" s="1">
        <v>1477.55</v>
      </c>
      <c r="N224" s="1">
        <v>10</v>
      </c>
      <c r="O224" s="1">
        <v>7978.77</v>
      </c>
      <c r="P224" s="9">
        <f t="shared" si="3"/>
        <v>8865.2999999999993</v>
      </c>
      <c r="Q224" s="1"/>
      <c r="R224" s="11"/>
      <c r="S224" s="1"/>
      <c r="T224" s="1"/>
      <c r="U224" s="1"/>
    </row>
    <row r="225" spans="1:21" x14ac:dyDescent="0.3">
      <c r="A225" s="5">
        <v>10224</v>
      </c>
      <c r="B225" s="1">
        <v>1795</v>
      </c>
      <c r="C225" s="2">
        <v>45100</v>
      </c>
      <c r="D225" s="2">
        <v>45106</v>
      </c>
      <c r="E225" s="1" t="s">
        <v>34</v>
      </c>
      <c r="F225" s="1" t="s">
        <v>23</v>
      </c>
      <c r="G225" s="1" t="s">
        <v>30</v>
      </c>
      <c r="H225" s="1" t="s">
        <v>25</v>
      </c>
      <c r="I225" s="1" t="s">
        <v>57</v>
      </c>
      <c r="J225" s="1" t="s">
        <v>58</v>
      </c>
      <c r="K225" s="1" t="s">
        <v>21</v>
      </c>
      <c r="L225" s="1">
        <v>2</v>
      </c>
      <c r="M225" s="1">
        <v>1448.65</v>
      </c>
      <c r="N225" s="1">
        <v>20</v>
      </c>
      <c r="O225" s="1">
        <v>2317.84</v>
      </c>
      <c r="P225" s="9">
        <f t="shared" si="3"/>
        <v>2897.3</v>
      </c>
      <c r="Q225" s="1"/>
      <c r="R225" s="11"/>
      <c r="S225" s="1"/>
      <c r="T225" s="1"/>
      <c r="U225" s="1"/>
    </row>
    <row r="226" spans="1:21" x14ac:dyDescent="0.3">
      <c r="A226" s="5">
        <v>10225</v>
      </c>
      <c r="B226" s="1">
        <v>1027</v>
      </c>
      <c r="C226" s="2">
        <v>45242</v>
      </c>
      <c r="D226" s="2">
        <v>45246</v>
      </c>
      <c r="E226" s="1" t="s">
        <v>46</v>
      </c>
      <c r="F226" s="1" t="s">
        <v>16</v>
      </c>
      <c r="G226" s="1" t="s">
        <v>30</v>
      </c>
      <c r="H226" s="1" t="s">
        <v>42</v>
      </c>
      <c r="I226" s="1" t="s">
        <v>52</v>
      </c>
      <c r="J226" s="1" t="s">
        <v>53</v>
      </c>
      <c r="K226" s="1" t="s">
        <v>28</v>
      </c>
      <c r="L226" s="1">
        <v>7</v>
      </c>
      <c r="M226" s="1">
        <v>1350.86</v>
      </c>
      <c r="N226" s="1">
        <v>10</v>
      </c>
      <c r="O226" s="1">
        <v>8510.42</v>
      </c>
      <c r="P226" s="9">
        <f t="shared" si="3"/>
        <v>9456.0199999999986</v>
      </c>
      <c r="Q226" s="1"/>
      <c r="R226" s="11"/>
      <c r="S226" s="1"/>
      <c r="T226" s="1"/>
      <c r="U226" s="1"/>
    </row>
    <row r="227" spans="1:21" x14ac:dyDescent="0.3">
      <c r="A227" s="5">
        <v>10226</v>
      </c>
      <c r="B227" s="1">
        <v>1619</v>
      </c>
      <c r="C227" s="2">
        <v>45290</v>
      </c>
      <c r="D227" s="2">
        <v>45291</v>
      </c>
      <c r="E227" s="1" t="s">
        <v>37</v>
      </c>
      <c r="F227" s="1" t="s">
        <v>38</v>
      </c>
      <c r="G227" s="1" t="s">
        <v>17</v>
      </c>
      <c r="H227" s="1" t="s">
        <v>42</v>
      </c>
      <c r="I227" s="1" t="s">
        <v>49</v>
      </c>
      <c r="J227" s="1" t="s">
        <v>63</v>
      </c>
      <c r="K227" s="1" t="s">
        <v>45</v>
      </c>
      <c r="L227" s="1">
        <v>5</v>
      </c>
      <c r="M227" s="1">
        <v>620.13</v>
      </c>
      <c r="N227" s="1">
        <v>5</v>
      </c>
      <c r="O227" s="1">
        <v>2945.62</v>
      </c>
      <c r="P227" s="9">
        <f t="shared" si="3"/>
        <v>3100.65</v>
      </c>
      <c r="Q227" s="1"/>
      <c r="R227" s="11"/>
      <c r="S227" s="1"/>
      <c r="T227" s="1"/>
      <c r="U227" s="1"/>
    </row>
    <row r="228" spans="1:21" x14ac:dyDescent="0.3">
      <c r="A228" s="5">
        <v>10227</v>
      </c>
      <c r="B228" s="1">
        <v>1555</v>
      </c>
      <c r="C228" s="2">
        <v>45114</v>
      </c>
      <c r="D228" s="2">
        <v>45122</v>
      </c>
      <c r="E228" s="1" t="s">
        <v>16</v>
      </c>
      <c r="F228" s="1" t="s">
        <v>54</v>
      </c>
      <c r="G228" s="1" t="s">
        <v>17</v>
      </c>
      <c r="H228" s="1" t="s">
        <v>44</v>
      </c>
      <c r="I228" s="1" t="s">
        <v>19</v>
      </c>
      <c r="J228" s="1" t="s">
        <v>55</v>
      </c>
      <c r="K228" s="1" t="s">
        <v>47</v>
      </c>
      <c r="L228" s="1">
        <v>6</v>
      </c>
      <c r="M228" s="1">
        <v>577.88</v>
      </c>
      <c r="N228" s="1">
        <v>0</v>
      </c>
      <c r="O228" s="1">
        <v>3467.28</v>
      </c>
      <c r="P228" s="9">
        <f t="shared" si="3"/>
        <v>3467.2799999999997</v>
      </c>
      <c r="Q228" s="1"/>
      <c r="R228" s="11"/>
      <c r="S228" s="1"/>
      <c r="T228" s="1"/>
      <c r="U228" s="1"/>
    </row>
    <row r="229" spans="1:21" x14ac:dyDescent="0.3">
      <c r="A229" s="5">
        <v>10228</v>
      </c>
      <c r="B229" s="1">
        <v>1339</v>
      </c>
      <c r="C229" s="2">
        <v>44983</v>
      </c>
      <c r="D229" s="2">
        <v>44990</v>
      </c>
      <c r="E229" s="1" t="s">
        <v>15</v>
      </c>
      <c r="F229" s="1" t="s">
        <v>54</v>
      </c>
      <c r="G229" s="1" t="s">
        <v>17</v>
      </c>
      <c r="H229" s="1" t="s">
        <v>35</v>
      </c>
      <c r="I229" s="1" t="s">
        <v>57</v>
      </c>
      <c r="J229" s="1" t="s">
        <v>62</v>
      </c>
      <c r="K229" s="1" t="s">
        <v>21</v>
      </c>
      <c r="L229" s="1">
        <v>8</v>
      </c>
      <c r="M229" s="1">
        <v>2645.2</v>
      </c>
      <c r="N229" s="1">
        <v>20</v>
      </c>
      <c r="O229" s="1">
        <v>16929.28</v>
      </c>
      <c r="P229" s="9">
        <f t="shared" si="3"/>
        <v>21161.599999999999</v>
      </c>
      <c r="Q229" s="1"/>
      <c r="R229" s="11"/>
      <c r="S229" s="1"/>
      <c r="T229" s="1"/>
      <c r="U229" s="1"/>
    </row>
    <row r="230" spans="1:21" x14ac:dyDescent="0.3">
      <c r="A230" s="5">
        <v>10229</v>
      </c>
      <c r="B230" s="1">
        <v>1797</v>
      </c>
      <c r="C230" s="2">
        <v>44957</v>
      </c>
      <c r="D230" s="2">
        <v>44959</v>
      </c>
      <c r="E230" s="1" t="s">
        <v>16</v>
      </c>
      <c r="F230" s="1" t="s">
        <v>54</v>
      </c>
      <c r="G230" s="1" t="s">
        <v>30</v>
      </c>
      <c r="H230" s="1" t="s">
        <v>44</v>
      </c>
      <c r="I230" s="1" t="s">
        <v>49</v>
      </c>
      <c r="J230" s="1" t="s">
        <v>68</v>
      </c>
      <c r="K230" s="1" t="s">
        <v>33</v>
      </c>
      <c r="L230" s="1">
        <v>8</v>
      </c>
      <c r="M230" s="1">
        <v>3519.2</v>
      </c>
      <c r="N230" s="1">
        <v>0</v>
      </c>
      <c r="O230" s="1">
        <v>28153.599999999999</v>
      </c>
      <c r="P230" s="9">
        <f t="shared" si="3"/>
        <v>28153.599999999999</v>
      </c>
      <c r="Q230" s="1"/>
      <c r="R230" s="11"/>
      <c r="S230" s="1"/>
      <c r="T230" s="1"/>
      <c r="U230" s="1"/>
    </row>
    <row r="231" spans="1:21" x14ac:dyDescent="0.3">
      <c r="A231" s="5">
        <v>10230</v>
      </c>
      <c r="B231" s="1">
        <v>1957</v>
      </c>
      <c r="C231" s="2">
        <v>45010</v>
      </c>
      <c r="D231" s="2">
        <v>45018</v>
      </c>
      <c r="E231" s="1" t="s">
        <v>37</v>
      </c>
      <c r="F231" s="1" t="s">
        <v>38</v>
      </c>
      <c r="G231" s="1" t="s">
        <v>24</v>
      </c>
      <c r="H231" s="1" t="s">
        <v>35</v>
      </c>
      <c r="I231" s="1" t="s">
        <v>57</v>
      </c>
      <c r="J231" s="1" t="s">
        <v>62</v>
      </c>
      <c r="K231" s="1" t="s">
        <v>47</v>
      </c>
      <c r="L231" s="1">
        <v>3</v>
      </c>
      <c r="M231" s="1">
        <v>3193.5</v>
      </c>
      <c r="N231" s="1">
        <v>10</v>
      </c>
      <c r="O231" s="1">
        <v>8622.4500000000007</v>
      </c>
      <c r="P231" s="9">
        <f t="shared" si="3"/>
        <v>9580.5</v>
      </c>
      <c r="Q231" s="1"/>
      <c r="R231" s="11"/>
      <c r="S231" s="1"/>
      <c r="T231" s="1"/>
      <c r="U231" s="1"/>
    </row>
    <row r="232" spans="1:21" x14ac:dyDescent="0.3">
      <c r="A232" s="5">
        <v>10231</v>
      </c>
      <c r="B232" s="1">
        <v>1330</v>
      </c>
      <c r="C232" s="2">
        <v>45078</v>
      </c>
      <c r="D232" s="2">
        <v>45083</v>
      </c>
      <c r="E232" s="1" t="s">
        <v>16</v>
      </c>
      <c r="F232" s="1" t="s">
        <v>38</v>
      </c>
      <c r="G232" s="1" t="s">
        <v>30</v>
      </c>
      <c r="H232" s="1" t="s">
        <v>25</v>
      </c>
      <c r="I232" s="1" t="s">
        <v>26</v>
      </c>
      <c r="J232" s="1" t="s">
        <v>36</v>
      </c>
      <c r="K232" s="1" t="s">
        <v>47</v>
      </c>
      <c r="L232" s="1">
        <v>7</v>
      </c>
      <c r="M232" s="1">
        <v>693.26</v>
      </c>
      <c r="N232" s="1">
        <v>20</v>
      </c>
      <c r="O232" s="1">
        <v>3882.26</v>
      </c>
      <c r="P232" s="9">
        <f t="shared" si="3"/>
        <v>4852.82</v>
      </c>
      <c r="Q232" s="1"/>
      <c r="R232" s="11"/>
      <c r="S232" s="1"/>
      <c r="T232" s="1"/>
      <c r="U232" s="1"/>
    </row>
    <row r="233" spans="1:21" x14ac:dyDescent="0.3">
      <c r="A233" s="5">
        <v>10232</v>
      </c>
      <c r="B233" s="1">
        <v>1639</v>
      </c>
      <c r="C233" s="2">
        <v>44962</v>
      </c>
      <c r="D233" s="2">
        <v>44969</v>
      </c>
      <c r="E233" s="1" t="s">
        <v>22</v>
      </c>
      <c r="F233" s="1" t="s">
        <v>29</v>
      </c>
      <c r="G233" s="1" t="s">
        <v>17</v>
      </c>
      <c r="H233" s="1" t="s">
        <v>18</v>
      </c>
      <c r="I233" s="1" t="s">
        <v>57</v>
      </c>
      <c r="J233" s="1" t="s">
        <v>59</v>
      </c>
      <c r="K233" s="1" t="s">
        <v>21</v>
      </c>
      <c r="L233" s="1">
        <v>1</v>
      </c>
      <c r="M233" s="1">
        <v>2250.4899999999998</v>
      </c>
      <c r="N233" s="1">
        <v>15</v>
      </c>
      <c r="O233" s="1">
        <v>1912.92</v>
      </c>
      <c r="P233" s="9">
        <f t="shared" si="3"/>
        <v>2250.4899999999998</v>
      </c>
      <c r="Q233" s="1"/>
      <c r="R233" s="11"/>
      <c r="S233" s="1"/>
      <c r="T233" s="1"/>
      <c r="U233" s="1"/>
    </row>
    <row r="234" spans="1:21" x14ac:dyDescent="0.3">
      <c r="A234" s="5">
        <v>10233</v>
      </c>
      <c r="B234" s="1">
        <v>1505</v>
      </c>
      <c r="C234" s="2">
        <v>45139</v>
      </c>
      <c r="D234" s="2">
        <v>45143</v>
      </c>
      <c r="E234" s="1" t="s">
        <v>16</v>
      </c>
      <c r="F234" s="1" t="s">
        <v>41</v>
      </c>
      <c r="G234" s="1" t="s">
        <v>17</v>
      </c>
      <c r="H234" s="1" t="s">
        <v>44</v>
      </c>
      <c r="I234" s="1" t="s">
        <v>19</v>
      </c>
      <c r="J234" s="1" t="s">
        <v>55</v>
      </c>
      <c r="K234" s="1" t="s">
        <v>47</v>
      </c>
      <c r="L234" s="1">
        <v>1</v>
      </c>
      <c r="M234" s="1">
        <v>556.53</v>
      </c>
      <c r="N234" s="1">
        <v>5</v>
      </c>
      <c r="O234" s="1">
        <v>528.70000000000005</v>
      </c>
      <c r="P234" s="9">
        <f t="shared" si="3"/>
        <v>556.53</v>
      </c>
      <c r="Q234" s="1"/>
      <c r="R234" s="11"/>
      <c r="S234" s="1"/>
      <c r="T234" s="1"/>
      <c r="U234" s="1"/>
    </row>
    <row r="235" spans="1:21" x14ac:dyDescent="0.3">
      <c r="A235" s="5">
        <v>10234</v>
      </c>
      <c r="B235" s="1">
        <v>1347</v>
      </c>
      <c r="C235" s="2">
        <v>45290</v>
      </c>
      <c r="D235" s="2">
        <v>45295</v>
      </c>
      <c r="E235" s="1" t="s">
        <v>37</v>
      </c>
      <c r="F235" s="1" t="s">
        <v>16</v>
      </c>
      <c r="G235" s="1" t="s">
        <v>30</v>
      </c>
      <c r="H235" s="1" t="s">
        <v>44</v>
      </c>
      <c r="I235" s="1" t="s">
        <v>31</v>
      </c>
      <c r="J235" s="1" t="s">
        <v>48</v>
      </c>
      <c r="K235" s="1" t="s">
        <v>33</v>
      </c>
      <c r="L235" s="1">
        <v>7</v>
      </c>
      <c r="M235" s="1">
        <v>324.38</v>
      </c>
      <c r="N235" s="1">
        <v>10</v>
      </c>
      <c r="O235" s="1">
        <v>2043.59</v>
      </c>
      <c r="P235" s="9">
        <f t="shared" si="3"/>
        <v>2270.66</v>
      </c>
      <c r="Q235" s="1"/>
      <c r="R235" s="11"/>
      <c r="S235" s="1"/>
      <c r="T235" s="1"/>
      <c r="U235" s="1"/>
    </row>
    <row r="236" spans="1:21" x14ac:dyDescent="0.3">
      <c r="A236" s="5">
        <v>10235</v>
      </c>
      <c r="B236" s="1">
        <v>1472</v>
      </c>
      <c r="C236" s="2">
        <v>45032</v>
      </c>
      <c r="D236" s="2">
        <v>45040</v>
      </c>
      <c r="E236" s="1" t="s">
        <v>40</v>
      </c>
      <c r="F236" s="1" t="s">
        <v>29</v>
      </c>
      <c r="G236" s="1" t="s">
        <v>17</v>
      </c>
      <c r="H236" s="1" t="s">
        <v>35</v>
      </c>
      <c r="I236" s="1" t="s">
        <v>52</v>
      </c>
      <c r="J236" s="1" t="s">
        <v>60</v>
      </c>
      <c r="K236" s="1" t="s">
        <v>47</v>
      </c>
      <c r="L236" s="1">
        <v>9</v>
      </c>
      <c r="M236" s="1">
        <v>2677.09</v>
      </c>
      <c r="N236" s="1">
        <v>10</v>
      </c>
      <c r="O236" s="1">
        <v>21684.43</v>
      </c>
      <c r="P236" s="9">
        <f t="shared" si="3"/>
        <v>24093.81</v>
      </c>
      <c r="Q236" s="1"/>
      <c r="R236" s="11"/>
      <c r="S236" s="1"/>
      <c r="T236" s="1"/>
      <c r="U236" s="1"/>
    </row>
    <row r="237" spans="1:21" x14ac:dyDescent="0.3">
      <c r="A237" s="5">
        <v>10236</v>
      </c>
      <c r="B237" s="1">
        <v>1230</v>
      </c>
      <c r="C237" s="2">
        <v>45268</v>
      </c>
      <c r="D237" s="2">
        <v>45269</v>
      </c>
      <c r="E237" s="1" t="s">
        <v>22</v>
      </c>
      <c r="F237" s="1" t="s">
        <v>16</v>
      </c>
      <c r="G237" s="1" t="s">
        <v>30</v>
      </c>
      <c r="H237" s="1" t="s">
        <v>25</v>
      </c>
      <c r="I237" s="1" t="s">
        <v>52</v>
      </c>
      <c r="J237" s="1" t="s">
        <v>60</v>
      </c>
      <c r="K237" s="1" t="s">
        <v>33</v>
      </c>
      <c r="L237" s="1">
        <v>7</v>
      </c>
      <c r="M237" s="1">
        <v>2210.34</v>
      </c>
      <c r="N237" s="1">
        <v>5</v>
      </c>
      <c r="O237" s="1">
        <v>14698.76</v>
      </c>
      <c r="P237" s="9">
        <f t="shared" si="3"/>
        <v>15472.380000000001</v>
      </c>
      <c r="Q237" s="1"/>
      <c r="R237" s="11"/>
      <c r="S237" s="1"/>
      <c r="T237" s="1"/>
      <c r="U237" s="1"/>
    </row>
    <row r="238" spans="1:21" x14ac:dyDescent="0.3">
      <c r="A238" s="5">
        <v>10237</v>
      </c>
      <c r="B238" s="1">
        <v>1189</v>
      </c>
      <c r="C238" s="2">
        <v>45146</v>
      </c>
      <c r="D238" s="2">
        <v>45147</v>
      </c>
      <c r="E238" s="1" t="s">
        <v>16</v>
      </c>
      <c r="F238" s="1" t="s">
        <v>41</v>
      </c>
      <c r="G238" s="1" t="s">
        <v>17</v>
      </c>
      <c r="H238" s="1" t="s">
        <v>25</v>
      </c>
      <c r="I238" s="1" t="s">
        <v>19</v>
      </c>
      <c r="J238" s="1" t="s">
        <v>20</v>
      </c>
      <c r="K238" s="1" t="s">
        <v>21</v>
      </c>
      <c r="L238" s="1">
        <v>5</v>
      </c>
      <c r="M238" s="1">
        <v>465.79</v>
      </c>
      <c r="N238" s="1">
        <v>5</v>
      </c>
      <c r="O238" s="1">
        <v>2212.5</v>
      </c>
      <c r="P238" s="9">
        <f t="shared" si="3"/>
        <v>2328.9500000000003</v>
      </c>
      <c r="Q238" s="1"/>
      <c r="R238" s="11"/>
      <c r="S238" s="1"/>
      <c r="T238" s="1"/>
      <c r="U238" s="1"/>
    </row>
    <row r="239" spans="1:21" x14ac:dyDescent="0.3">
      <c r="A239" s="5">
        <v>10238</v>
      </c>
      <c r="B239" s="1">
        <v>1224</v>
      </c>
      <c r="C239" s="2">
        <v>45089</v>
      </c>
      <c r="D239" s="2">
        <v>45093</v>
      </c>
      <c r="E239" s="1" t="s">
        <v>34</v>
      </c>
      <c r="F239" s="1" t="s">
        <v>38</v>
      </c>
      <c r="G239" s="1" t="s">
        <v>24</v>
      </c>
      <c r="H239" s="1" t="s">
        <v>35</v>
      </c>
      <c r="I239" s="1" t="s">
        <v>57</v>
      </c>
      <c r="J239" s="1" t="s">
        <v>62</v>
      </c>
      <c r="K239" s="1" t="s">
        <v>45</v>
      </c>
      <c r="L239" s="1">
        <v>8</v>
      </c>
      <c r="M239" s="1">
        <v>284.52</v>
      </c>
      <c r="N239" s="1">
        <v>15</v>
      </c>
      <c r="O239" s="1">
        <v>1934.74</v>
      </c>
      <c r="P239" s="9">
        <f t="shared" si="3"/>
        <v>2276.16</v>
      </c>
      <c r="Q239" s="1"/>
      <c r="R239" s="11"/>
      <c r="S239" s="1"/>
      <c r="T239" s="1"/>
      <c r="U239" s="1"/>
    </row>
    <row r="240" spans="1:21" x14ac:dyDescent="0.3">
      <c r="A240" s="5">
        <v>10239</v>
      </c>
      <c r="B240" s="1">
        <v>1384</v>
      </c>
      <c r="C240" s="2">
        <v>45146</v>
      </c>
      <c r="D240" s="2">
        <v>45149</v>
      </c>
      <c r="E240" s="1" t="s">
        <v>34</v>
      </c>
      <c r="F240" s="1" t="s">
        <v>41</v>
      </c>
      <c r="G240" s="1" t="s">
        <v>24</v>
      </c>
      <c r="H240" s="1" t="s">
        <v>25</v>
      </c>
      <c r="I240" s="1" t="s">
        <v>49</v>
      </c>
      <c r="J240" s="1" t="s">
        <v>63</v>
      </c>
      <c r="K240" s="1" t="s">
        <v>47</v>
      </c>
      <c r="L240" s="1">
        <v>2</v>
      </c>
      <c r="M240" s="1">
        <v>3960.56</v>
      </c>
      <c r="N240" s="1">
        <v>10</v>
      </c>
      <c r="O240" s="1">
        <v>7129.01</v>
      </c>
      <c r="P240" s="9">
        <f t="shared" si="3"/>
        <v>7921.12</v>
      </c>
      <c r="Q240" s="1"/>
      <c r="R240" s="11"/>
      <c r="S240" s="1"/>
      <c r="T240" s="1"/>
      <c r="U240" s="1"/>
    </row>
    <row r="241" spans="1:21" x14ac:dyDescent="0.3">
      <c r="A241" s="5">
        <v>10240</v>
      </c>
      <c r="B241" s="1">
        <v>1376</v>
      </c>
      <c r="C241" s="2">
        <v>45196</v>
      </c>
      <c r="D241" s="2">
        <v>45198</v>
      </c>
      <c r="E241" s="1" t="s">
        <v>16</v>
      </c>
      <c r="F241" s="1" t="s">
        <v>38</v>
      </c>
      <c r="G241" s="1" t="s">
        <v>17</v>
      </c>
      <c r="H241" s="1" t="s">
        <v>42</v>
      </c>
      <c r="I241" s="1" t="s">
        <v>57</v>
      </c>
      <c r="J241" s="1" t="s">
        <v>67</v>
      </c>
      <c r="K241" s="1" t="s">
        <v>45</v>
      </c>
      <c r="L241" s="1">
        <v>9</v>
      </c>
      <c r="M241" s="1">
        <v>265.58</v>
      </c>
      <c r="N241" s="1">
        <v>10</v>
      </c>
      <c r="O241" s="1">
        <v>2151.1999999999998</v>
      </c>
      <c r="P241" s="9">
        <f t="shared" si="3"/>
        <v>2390.2199999999998</v>
      </c>
      <c r="Q241" s="1"/>
      <c r="R241" s="11"/>
      <c r="S241" s="1"/>
      <c r="T241" s="1"/>
      <c r="U241" s="1"/>
    </row>
    <row r="242" spans="1:21" x14ac:dyDescent="0.3">
      <c r="A242" s="5">
        <v>10241</v>
      </c>
      <c r="B242" s="1">
        <v>1282</v>
      </c>
      <c r="C242" s="2">
        <v>45046</v>
      </c>
      <c r="D242" s="2">
        <v>45049</v>
      </c>
      <c r="E242" s="1" t="s">
        <v>40</v>
      </c>
      <c r="F242" s="1" t="s">
        <v>41</v>
      </c>
      <c r="G242" s="1" t="s">
        <v>30</v>
      </c>
      <c r="H242" s="1" t="s">
        <v>18</v>
      </c>
      <c r="I242" s="1" t="s">
        <v>19</v>
      </c>
      <c r="J242" s="1" t="s">
        <v>66</v>
      </c>
      <c r="K242" s="1" t="s">
        <v>33</v>
      </c>
      <c r="L242" s="1">
        <v>6</v>
      </c>
      <c r="M242" s="1">
        <v>1861.43</v>
      </c>
      <c r="N242" s="1">
        <v>0</v>
      </c>
      <c r="O242" s="1">
        <v>11168.58</v>
      </c>
      <c r="P242" s="9">
        <f t="shared" si="3"/>
        <v>11168.58</v>
      </c>
      <c r="Q242" s="1"/>
      <c r="R242" s="11"/>
      <c r="S242" s="1"/>
      <c r="T242" s="1"/>
      <c r="U242" s="1"/>
    </row>
    <row r="243" spans="1:21" x14ac:dyDescent="0.3">
      <c r="A243" s="5">
        <v>10242</v>
      </c>
      <c r="B243" s="1">
        <v>1957</v>
      </c>
      <c r="C243" s="2">
        <v>45262</v>
      </c>
      <c r="D243" s="2">
        <v>45263</v>
      </c>
      <c r="E243" s="1" t="s">
        <v>15</v>
      </c>
      <c r="F243" s="1" t="s">
        <v>29</v>
      </c>
      <c r="G243" s="1" t="s">
        <v>24</v>
      </c>
      <c r="H243" s="1" t="s">
        <v>44</v>
      </c>
      <c r="I243" s="1" t="s">
        <v>52</v>
      </c>
      <c r="J243" s="1" t="s">
        <v>64</v>
      </c>
      <c r="K243" s="1" t="s">
        <v>47</v>
      </c>
      <c r="L243" s="1">
        <v>9</v>
      </c>
      <c r="M243" s="1">
        <v>2092.7800000000002</v>
      </c>
      <c r="N243" s="1">
        <v>20</v>
      </c>
      <c r="O243" s="1">
        <v>15068.02</v>
      </c>
      <c r="P243" s="9">
        <f t="shared" si="3"/>
        <v>18835.02</v>
      </c>
      <c r="Q243" s="1"/>
      <c r="R243" s="11"/>
      <c r="S243" s="1"/>
      <c r="T243" s="1"/>
      <c r="U243" s="1"/>
    </row>
    <row r="244" spans="1:21" x14ac:dyDescent="0.3">
      <c r="A244" s="5">
        <v>10243</v>
      </c>
      <c r="B244" s="1">
        <v>1632</v>
      </c>
      <c r="C244" s="2">
        <v>45108</v>
      </c>
      <c r="D244" s="2">
        <v>45109</v>
      </c>
      <c r="E244" s="1" t="s">
        <v>37</v>
      </c>
      <c r="F244" s="1" t="s">
        <v>23</v>
      </c>
      <c r="G244" s="1" t="s">
        <v>30</v>
      </c>
      <c r="H244" s="1" t="s">
        <v>18</v>
      </c>
      <c r="I244" s="1" t="s">
        <v>57</v>
      </c>
      <c r="J244" s="1" t="s">
        <v>59</v>
      </c>
      <c r="K244" s="1" t="s">
        <v>28</v>
      </c>
      <c r="L244" s="1">
        <v>2</v>
      </c>
      <c r="M244" s="1">
        <v>601.53</v>
      </c>
      <c r="N244" s="1">
        <v>20</v>
      </c>
      <c r="O244" s="1">
        <v>962.45</v>
      </c>
      <c r="P244" s="9">
        <f t="shared" si="3"/>
        <v>1203.06</v>
      </c>
      <c r="Q244" s="1"/>
      <c r="R244" s="11"/>
      <c r="S244" s="1"/>
      <c r="T244" s="1"/>
      <c r="U244" s="1"/>
    </row>
    <row r="245" spans="1:21" x14ac:dyDescent="0.3">
      <c r="A245" s="5">
        <v>10244</v>
      </c>
      <c r="B245" s="1">
        <v>1627</v>
      </c>
      <c r="C245" s="2">
        <v>45032</v>
      </c>
      <c r="D245" s="2">
        <v>45038</v>
      </c>
      <c r="E245" s="1" t="s">
        <v>34</v>
      </c>
      <c r="F245" s="1" t="s">
        <v>29</v>
      </c>
      <c r="G245" s="1" t="s">
        <v>17</v>
      </c>
      <c r="H245" s="1" t="s">
        <v>44</v>
      </c>
      <c r="I245" s="1" t="s">
        <v>52</v>
      </c>
      <c r="J245" s="1" t="s">
        <v>53</v>
      </c>
      <c r="K245" s="1" t="s">
        <v>45</v>
      </c>
      <c r="L245" s="1">
        <v>3</v>
      </c>
      <c r="M245" s="1">
        <v>800.89</v>
      </c>
      <c r="N245" s="1">
        <v>0</v>
      </c>
      <c r="O245" s="1">
        <v>2402.67</v>
      </c>
      <c r="P245" s="9">
        <f t="shared" si="3"/>
        <v>2402.67</v>
      </c>
      <c r="Q245" s="1"/>
      <c r="R245" s="11"/>
      <c r="S245" s="1"/>
      <c r="T245" s="1"/>
      <c r="U245" s="1"/>
    </row>
    <row r="246" spans="1:21" x14ac:dyDescent="0.3">
      <c r="A246" s="5">
        <v>10245</v>
      </c>
      <c r="B246" s="1">
        <v>1972</v>
      </c>
      <c r="C246" s="2">
        <v>45143</v>
      </c>
      <c r="D246" s="2">
        <v>45148</v>
      </c>
      <c r="E246" s="1" t="s">
        <v>15</v>
      </c>
      <c r="F246" s="1" t="s">
        <v>16</v>
      </c>
      <c r="G246" s="1" t="s">
        <v>30</v>
      </c>
      <c r="H246" s="1" t="s">
        <v>42</v>
      </c>
      <c r="I246" s="1" t="s">
        <v>49</v>
      </c>
      <c r="J246" s="1" t="s">
        <v>51</v>
      </c>
      <c r="K246" s="1" t="s">
        <v>47</v>
      </c>
      <c r="L246" s="1">
        <v>8</v>
      </c>
      <c r="M246" s="1">
        <v>1504.45</v>
      </c>
      <c r="N246" s="1">
        <v>20</v>
      </c>
      <c r="O246" s="1">
        <v>9628.48</v>
      </c>
      <c r="P246" s="9">
        <f t="shared" si="3"/>
        <v>12035.6</v>
      </c>
      <c r="Q246" s="1"/>
      <c r="R246" s="11"/>
      <c r="S246" s="1"/>
      <c r="T246" s="1"/>
      <c r="U246" s="1"/>
    </row>
    <row r="247" spans="1:21" x14ac:dyDescent="0.3">
      <c r="A247" s="5">
        <v>10246</v>
      </c>
      <c r="B247" s="1">
        <v>1744</v>
      </c>
      <c r="C247" s="2">
        <v>45131</v>
      </c>
      <c r="D247" s="2">
        <v>45139</v>
      </c>
      <c r="E247" s="1" t="s">
        <v>16</v>
      </c>
      <c r="F247" s="1" t="s">
        <v>29</v>
      </c>
      <c r="G247" s="1" t="s">
        <v>24</v>
      </c>
      <c r="H247" s="1" t="s">
        <v>25</v>
      </c>
      <c r="I247" s="1" t="s">
        <v>52</v>
      </c>
      <c r="J247" s="1" t="s">
        <v>53</v>
      </c>
      <c r="K247" s="1" t="s">
        <v>45</v>
      </c>
      <c r="L247" s="1">
        <v>1</v>
      </c>
      <c r="M247" s="1">
        <v>3082.45</v>
      </c>
      <c r="N247" s="1">
        <v>5</v>
      </c>
      <c r="O247" s="1">
        <v>2928.33</v>
      </c>
      <c r="P247" s="9">
        <f t="shared" si="3"/>
        <v>3082.45</v>
      </c>
      <c r="Q247" s="1"/>
      <c r="R247" s="11"/>
      <c r="S247" s="1"/>
      <c r="T247" s="1"/>
      <c r="U247" s="1"/>
    </row>
    <row r="248" spans="1:21" x14ac:dyDescent="0.3">
      <c r="A248" s="5">
        <v>10247</v>
      </c>
      <c r="B248" s="1">
        <v>1258</v>
      </c>
      <c r="C248" s="2">
        <v>44996</v>
      </c>
      <c r="D248" s="2">
        <v>44998</v>
      </c>
      <c r="E248" s="1" t="s">
        <v>15</v>
      </c>
      <c r="F248" s="1" t="s">
        <v>54</v>
      </c>
      <c r="G248" s="1" t="s">
        <v>30</v>
      </c>
      <c r="H248" s="1" t="s">
        <v>35</v>
      </c>
      <c r="I248" s="1" t="s">
        <v>52</v>
      </c>
      <c r="J248" s="1" t="s">
        <v>64</v>
      </c>
      <c r="K248" s="1" t="s">
        <v>47</v>
      </c>
      <c r="L248" s="1">
        <v>7</v>
      </c>
      <c r="M248" s="1">
        <v>2102.27</v>
      </c>
      <c r="N248" s="1">
        <v>20</v>
      </c>
      <c r="O248" s="1">
        <v>11772.71</v>
      </c>
      <c r="P248" s="9">
        <f t="shared" si="3"/>
        <v>14715.89</v>
      </c>
      <c r="Q248" s="1"/>
      <c r="R248" s="11"/>
      <c r="S248" s="1"/>
      <c r="T248" s="1"/>
      <c r="U248" s="1"/>
    </row>
    <row r="249" spans="1:21" x14ac:dyDescent="0.3">
      <c r="A249" s="5">
        <v>10248</v>
      </c>
      <c r="B249" s="1">
        <v>1358</v>
      </c>
      <c r="C249" s="2">
        <v>44970</v>
      </c>
      <c r="D249" s="2">
        <v>44974</v>
      </c>
      <c r="E249" s="1" t="s">
        <v>22</v>
      </c>
      <c r="F249" s="1" t="s">
        <v>16</v>
      </c>
      <c r="G249" s="1" t="s">
        <v>30</v>
      </c>
      <c r="H249" s="1" t="s">
        <v>42</v>
      </c>
      <c r="I249" s="1" t="s">
        <v>31</v>
      </c>
      <c r="J249" s="1" t="s">
        <v>39</v>
      </c>
      <c r="K249" s="1" t="s">
        <v>21</v>
      </c>
      <c r="L249" s="1">
        <v>7</v>
      </c>
      <c r="M249" s="1">
        <v>2605.92</v>
      </c>
      <c r="N249" s="1">
        <v>20</v>
      </c>
      <c r="O249" s="1">
        <v>14593.15</v>
      </c>
      <c r="P249" s="9">
        <f t="shared" si="3"/>
        <v>18241.440000000002</v>
      </c>
      <c r="Q249" s="1"/>
      <c r="R249" s="11"/>
      <c r="S249" s="1"/>
      <c r="T249" s="1"/>
      <c r="U249" s="1"/>
    </row>
    <row r="250" spans="1:21" x14ac:dyDescent="0.3">
      <c r="A250" s="5">
        <v>10249</v>
      </c>
      <c r="B250" s="1">
        <v>1709</v>
      </c>
      <c r="C250" s="2">
        <v>45255</v>
      </c>
      <c r="D250" s="2">
        <v>45263</v>
      </c>
      <c r="E250" s="1" t="s">
        <v>46</v>
      </c>
      <c r="F250" s="1" t="s">
        <v>41</v>
      </c>
      <c r="G250" s="1" t="s">
        <v>17</v>
      </c>
      <c r="H250" s="1" t="s">
        <v>18</v>
      </c>
      <c r="I250" s="1" t="s">
        <v>31</v>
      </c>
      <c r="J250" s="1" t="s">
        <v>65</v>
      </c>
      <c r="K250" s="1" t="s">
        <v>45</v>
      </c>
      <c r="L250" s="1">
        <v>1</v>
      </c>
      <c r="M250" s="1">
        <v>3942.92</v>
      </c>
      <c r="N250" s="1">
        <v>0</v>
      </c>
      <c r="O250" s="1">
        <v>3942.92</v>
      </c>
      <c r="P250" s="9">
        <f t="shared" si="3"/>
        <v>3942.92</v>
      </c>
      <c r="Q250" s="1"/>
      <c r="R250" s="11"/>
      <c r="S250" s="1"/>
      <c r="T250" s="1"/>
      <c r="U250" s="1"/>
    </row>
    <row r="251" spans="1:21" x14ac:dyDescent="0.3">
      <c r="A251" s="5">
        <v>10250</v>
      </c>
      <c r="B251" s="1">
        <v>1455</v>
      </c>
      <c r="C251" s="2">
        <v>45227</v>
      </c>
      <c r="D251" s="2">
        <v>45233</v>
      </c>
      <c r="E251" s="1" t="s">
        <v>34</v>
      </c>
      <c r="F251" s="1" t="s">
        <v>16</v>
      </c>
      <c r="G251" s="1" t="s">
        <v>17</v>
      </c>
      <c r="H251" s="1" t="s">
        <v>35</v>
      </c>
      <c r="I251" s="1" t="s">
        <v>26</v>
      </c>
      <c r="J251" s="1" t="s">
        <v>69</v>
      </c>
      <c r="K251" s="1" t="s">
        <v>28</v>
      </c>
      <c r="L251" s="1">
        <v>9</v>
      </c>
      <c r="M251" s="1">
        <v>3106.82</v>
      </c>
      <c r="N251" s="1">
        <v>15</v>
      </c>
      <c r="O251" s="1">
        <v>23767.17</v>
      </c>
      <c r="P251" s="9">
        <f t="shared" si="3"/>
        <v>27961.38</v>
      </c>
      <c r="Q251" s="1"/>
      <c r="R251" s="11"/>
      <c r="S251" s="1"/>
      <c r="T251" s="1"/>
      <c r="U251" s="1"/>
    </row>
    <row r="252" spans="1:21" x14ac:dyDescent="0.3">
      <c r="A252" s="5">
        <v>10251</v>
      </c>
      <c r="B252" s="1">
        <v>1410</v>
      </c>
      <c r="C252" s="2">
        <v>45154</v>
      </c>
      <c r="D252" s="2">
        <v>45155</v>
      </c>
      <c r="E252" s="1" t="s">
        <v>16</v>
      </c>
      <c r="F252" s="1" t="s">
        <v>23</v>
      </c>
      <c r="G252" s="1" t="s">
        <v>17</v>
      </c>
      <c r="H252" s="1" t="s">
        <v>25</v>
      </c>
      <c r="I252" s="1" t="s">
        <v>31</v>
      </c>
      <c r="J252" s="1" t="s">
        <v>48</v>
      </c>
      <c r="K252" s="1" t="s">
        <v>28</v>
      </c>
      <c r="L252" s="1">
        <v>8</v>
      </c>
      <c r="M252" s="1">
        <v>1822.29</v>
      </c>
      <c r="N252" s="1">
        <v>20</v>
      </c>
      <c r="O252" s="1">
        <v>11662.66</v>
      </c>
      <c r="P252" s="9">
        <f t="shared" si="3"/>
        <v>14578.32</v>
      </c>
      <c r="Q252" s="1"/>
      <c r="R252" s="11"/>
      <c r="S252" s="1"/>
      <c r="T252" s="1"/>
      <c r="U252" s="1"/>
    </row>
    <row r="253" spans="1:21" x14ac:dyDescent="0.3">
      <c r="A253" s="5">
        <v>10252</v>
      </c>
      <c r="B253" s="1">
        <v>1648</v>
      </c>
      <c r="C253" s="2">
        <v>45110</v>
      </c>
      <c r="D253" s="2">
        <v>45114</v>
      </c>
      <c r="E253" s="1" t="s">
        <v>37</v>
      </c>
      <c r="F253" s="1" t="s">
        <v>38</v>
      </c>
      <c r="G253" s="1" t="s">
        <v>24</v>
      </c>
      <c r="H253" s="1" t="s">
        <v>42</v>
      </c>
      <c r="I253" s="1" t="s">
        <v>52</v>
      </c>
      <c r="J253" s="1" t="s">
        <v>60</v>
      </c>
      <c r="K253" s="1" t="s">
        <v>33</v>
      </c>
      <c r="L253" s="1">
        <v>4</v>
      </c>
      <c r="M253" s="1">
        <v>1868.8</v>
      </c>
      <c r="N253" s="1">
        <v>20</v>
      </c>
      <c r="O253" s="1">
        <v>5980.16</v>
      </c>
      <c r="P253" s="9">
        <f t="shared" si="3"/>
        <v>7475.2</v>
      </c>
      <c r="Q253" s="1"/>
      <c r="R253" s="11"/>
      <c r="S253" s="1"/>
      <c r="T253" s="1"/>
      <c r="U253" s="1"/>
    </row>
    <row r="254" spans="1:21" x14ac:dyDescent="0.3">
      <c r="A254" s="5">
        <v>10253</v>
      </c>
      <c r="B254" s="1">
        <v>1317</v>
      </c>
      <c r="C254" s="2">
        <v>45033</v>
      </c>
      <c r="D254" s="2">
        <v>45034</v>
      </c>
      <c r="E254" s="1" t="s">
        <v>40</v>
      </c>
      <c r="F254" s="1" t="s">
        <v>41</v>
      </c>
      <c r="G254" s="1" t="s">
        <v>24</v>
      </c>
      <c r="H254" s="1" t="s">
        <v>35</v>
      </c>
      <c r="I254" s="1" t="s">
        <v>19</v>
      </c>
      <c r="J254" s="1" t="s">
        <v>20</v>
      </c>
      <c r="K254" s="1" t="s">
        <v>47</v>
      </c>
      <c r="L254" s="1">
        <v>5</v>
      </c>
      <c r="M254" s="1">
        <v>2532.27</v>
      </c>
      <c r="N254" s="1">
        <v>15</v>
      </c>
      <c r="O254" s="1">
        <v>10762.15</v>
      </c>
      <c r="P254" s="9">
        <f t="shared" si="3"/>
        <v>12661.35</v>
      </c>
      <c r="Q254" s="1"/>
      <c r="R254" s="11"/>
      <c r="S254" s="1"/>
      <c r="T254" s="1"/>
      <c r="U254" s="1"/>
    </row>
    <row r="255" spans="1:21" x14ac:dyDescent="0.3">
      <c r="A255" s="5">
        <v>10254</v>
      </c>
      <c r="B255" s="1">
        <v>1676</v>
      </c>
      <c r="C255" s="2">
        <v>45010</v>
      </c>
      <c r="D255" s="2">
        <v>45012</v>
      </c>
      <c r="E255" s="1" t="s">
        <v>22</v>
      </c>
      <c r="F255" s="1" t="s">
        <v>16</v>
      </c>
      <c r="G255" s="1" t="s">
        <v>17</v>
      </c>
      <c r="H255" s="1" t="s">
        <v>42</v>
      </c>
      <c r="I255" s="1" t="s">
        <v>52</v>
      </c>
      <c r="J255" s="1" t="s">
        <v>64</v>
      </c>
      <c r="K255" s="1" t="s">
        <v>45</v>
      </c>
      <c r="L255" s="1">
        <v>2</v>
      </c>
      <c r="M255" s="1">
        <v>2711.66</v>
      </c>
      <c r="N255" s="1">
        <v>0</v>
      </c>
      <c r="O255" s="1">
        <v>5423.32</v>
      </c>
      <c r="P255" s="9">
        <f t="shared" si="3"/>
        <v>5423.32</v>
      </c>
      <c r="Q255" s="1"/>
      <c r="R255" s="11"/>
      <c r="S255" s="1"/>
      <c r="T255" s="1"/>
      <c r="U255" s="1"/>
    </row>
    <row r="256" spans="1:21" x14ac:dyDescent="0.3">
      <c r="A256" s="5">
        <v>10255</v>
      </c>
      <c r="B256" s="1">
        <v>1224</v>
      </c>
      <c r="C256" s="2">
        <v>45264</v>
      </c>
      <c r="D256" s="2">
        <v>45269</v>
      </c>
      <c r="E256" s="1" t="s">
        <v>16</v>
      </c>
      <c r="F256" s="1" t="s">
        <v>41</v>
      </c>
      <c r="G256" s="1" t="s">
        <v>17</v>
      </c>
      <c r="H256" s="1" t="s">
        <v>42</v>
      </c>
      <c r="I256" s="1" t="s">
        <v>19</v>
      </c>
      <c r="J256" s="1" t="s">
        <v>20</v>
      </c>
      <c r="K256" s="1" t="s">
        <v>33</v>
      </c>
      <c r="L256" s="1">
        <v>9</v>
      </c>
      <c r="M256" s="1">
        <v>2077.7399999999998</v>
      </c>
      <c r="N256" s="1">
        <v>15</v>
      </c>
      <c r="O256" s="1">
        <v>15894.71</v>
      </c>
      <c r="P256" s="9">
        <f t="shared" si="3"/>
        <v>18699.659999999996</v>
      </c>
      <c r="Q256" s="1"/>
      <c r="R256" s="11"/>
      <c r="S256" s="1"/>
      <c r="T256" s="1"/>
      <c r="U256" s="1"/>
    </row>
    <row r="257" spans="1:21" x14ac:dyDescent="0.3">
      <c r="A257" s="5">
        <v>10256</v>
      </c>
      <c r="B257" s="1">
        <v>1818</v>
      </c>
      <c r="C257" s="2">
        <v>45176</v>
      </c>
      <c r="D257" s="2">
        <v>45184</v>
      </c>
      <c r="E257" s="1" t="s">
        <v>37</v>
      </c>
      <c r="F257" s="1" t="s">
        <v>41</v>
      </c>
      <c r="G257" s="1" t="s">
        <v>24</v>
      </c>
      <c r="H257" s="1" t="s">
        <v>25</v>
      </c>
      <c r="I257" s="1" t="s">
        <v>19</v>
      </c>
      <c r="J257" s="1" t="s">
        <v>20</v>
      </c>
      <c r="K257" s="1" t="s">
        <v>45</v>
      </c>
      <c r="L257" s="1">
        <v>6</v>
      </c>
      <c r="M257" s="1">
        <v>2632.72</v>
      </c>
      <c r="N257" s="1">
        <v>0</v>
      </c>
      <c r="O257" s="1">
        <v>15796.32</v>
      </c>
      <c r="P257" s="9">
        <f t="shared" si="3"/>
        <v>15796.32</v>
      </c>
      <c r="Q257" s="1"/>
      <c r="R257" s="11"/>
      <c r="S257" s="1"/>
      <c r="T257" s="1"/>
      <c r="U257" s="1"/>
    </row>
    <row r="258" spans="1:21" x14ac:dyDescent="0.3">
      <c r="A258" s="5">
        <v>10257</v>
      </c>
      <c r="B258" s="1">
        <v>1233</v>
      </c>
      <c r="C258" s="2">
        <v>45289</v>
      </c>
      <c r="D258" s="2">
        <v>45297</v>
      </c>
      <c r="E258" s="1" t="s">
        <v>40</v>
      </c>
      <c r="F258" s="1" t="s">
        <v>41</v>
      </c>
      <c r="G258" s="1" t="s">
        <v>24</v>
      </c>
      <c r="H258" s="1" t="s">
        <v>44</v>
      </c>
      <c r="I258" s="1" t="s">
        <v>31</v>
      </c>
      <c r="J258" s="1" t="s">
        <v>32</v>
      </c>
      <c r="K258" s="1" t="s">
        <v>47</v>
      </c>
      <c r="L258" s="1">
        <v>3</v>
      </c>
      <c r="M258" s="1">
        <v>240.6</v>
      </c>
      <c r="N258" s="1">
        <v>5</v>
      </c>
      <c r="O258" s="1">
        <v>685.71</v>
      </c>
      <c r="P258" s="9">
        <f t="shared" si="3"/>
        <v>721.8</v>
      </c>
      <c r="Q258" s="1"/>
      <c r="R258" s="11"/>
      <c r="S258" s="1"/>
      <c r="T258" s="1"/>
      <c r="U258" s="1"/>
    </row>
    <row r="259" spans="1:21" x14ac:dyDescent="0.3">
      <c r="A259" s="5">
        <v>10258</v>
      </c>
      <c r="B259" s="1">
        <v>1683</v>
      </c>
      <c r="C259" s="2">
        <v>44947</v>
      </c>
      <c r="D259" s="2">
        <v>44950</v>
      </c>
      <c r="E259" s="1" t="s">
        <v>40</v>
      </c>
      <c r="F259" s="1" t="s">
        <v>38</v>
      </c>
      <c r="G259" s="1" t="s">
        <v>24</v>
      </c>
      <c r="H259" s="1" t="s">
        <v>35</v>
      </c>
      <c r="I259" s="1" t="s">
        <v>57</v>
      </c>
      <c r="J259" s="1" t="s">
        <v>59</v>
      </c>
      <c r="K259" s="1" t="s">
        <v>28</v>
      </c>
      <c r="L259" s="1">
        <v>7</v>
      </c>
      <c r="M259" s="1">
        <v>1804.05</v>
      </c>
      <c r="N259" s="1">
        <v>0</v>
      </c>
      <c r="O259" s="1">
        <v>12628.35</v>
      </c>
      <c r="P259" s="9">
        <f t="shared" ref="P259:P322" si="4">L259*M259</f>
        <v>12628.35</v>
      </c>
      <c r="Q259" s="1"/>
      <c r="R259" s="11"/>
      <c r="S259" s="1"/>
      <c r="T259" s="1"/>
      <c r="U259" s="1"/>
    </row>
    <row r="260" spans="1:21" x14ac:dyDescent="0.3">
      <c r="A260" s="5">
        <v>10259</v>
      </c>
      <c r="B260" s="1">
        <v>1663</v>
      </c>
      <c r="C260" s="2">
        <v>45122</v>
      </c>
      <c r="D260" s="2">
        <v>45126</v>
      </c>
      <c r="E260" s="1" t="s">
        <v>16</v>
      </c>
      <c r="F260" s="1" t="s">
        <v>29</v>
      </c>
      <c r="G260" s="1" t="s">
        <v>24</v>
      </c>
      <c r="H260" s="1" t="s">
        <v>25</v>
      </c>
      <c r="I260" s="1" t="s">
        <v>49</v>
      </c>
      <c r="J260" s="1" t="s">
        <v>51</v>
      </c>
      <c r="K260" s="1" t="s">
        <v>21</v>
      </c>
      <c r="L260" s="1">
        <v>9</v>
      </c>
      <c r="M260" s="1">
        <v>1223.9100000000001</v>
      </c>
      <c r="N260" s="1">
        <v>5</v>
      </c>
      <c r="O260" s="1">
        <v>10464.43</v>
      </c>
      <c r="P260" s="9">
        <f t="shared" si="4"/>
        <v>11015.19</v>
      </c>
      <c r="Q260" s="1"/>
      <c r="R260" s="11"/>
      <c r="S260" s="1"/>
      <c r="T260" s="1"/>
      <c r="U260" s="1"/>
    </row>
    <row r="261" spans="1:21" x14ac:dyDescent="0.3">
      <c r="A261" s="5">
        <v>10260</v>
      </c>
      <c r="B261" s="1">
        <v>1974</v>
      </c>
      <c r="C261" s="2">
        <v>45104</v>
      </c>
      <c r="D261" s="2">
        <v>45110</v>
      </c>
      <c r="E261" s="1" t="s">
        <v>22</v>
      </c>
      <c r="F261" s="1" t="s">
        <v>41</v>
      </c>
      <c r="G261" s="1" t="s">
        <v>17</v>
      </c>
      <c r="H261" s="1" t="s">
        <v>42</v>
      </c>
      <c r="I261" s="1" t="s">
        <v>31</v>
      </c>
      <c r="J261" s="1" t="s">
        <v>65</v>
      </c>
      <c r="K261" s="1" t="s">
        <v>28</v>
      </c>
      <c r="L261" s="1">
        <v>3</v>
      </c>
      <c r="M261" s="1">
        <v>647.32000000000005</v>
      </c>
      <c r="N261" s="1">
        <v>5</v>
      </c>
      <c r="O261" s="1">
        <v>1844.86</v>
      </c>
      <c r="P261" s="9">
        <f t="shared" si="4"/>
        <v>1941.96</v>
      </c>
      <c r="Q261" s="1"/>
      <c r="R261" s="11"/>
      <c r="S261" s="1"/>
      <c r="T261" s="1"/>
      <c r="U261" s="1"/>
    </row>
    <row r="262" spans="1:21" x14ac:dyDescent="0.3">
      <c r="A262" s="5">
        <v>10261</v>
      </c>
      <c r="B262" s="1">
        <v>1826</v>
      </c>
      <c r="C262" s="2">
        <v>44933</v>
      </c>
      <c r="D262" s="2">
        <v>44936</v>
      </c>
      <c r="E262" s="1" t="s">
        <v>15</v>
      </c>
      <c r="F262" s="1" t="s">
        <v>54</v>
      </c>
      <c r="G262" s="1" t="s">
        <v>24</v>
      </c>
      <c r="H262" s="1" t="s">
        <v>25</v>
      </c>
      <c r="I262" s="1" t="s">
        <v>31</v>
      </c>
      <c r="J262" s="1" t="s">
        <v>32</v>
      </c>
      <c r="K262" s="1" t="s">
        <v>33</v>
      </c>
      <c r="L262" s="1">
        <v>2</v>
      </c>
      <c r="M262" s="1">
        <v>533.25</v>
      </c>
      <c r="N262" s="1">
        <v>0</v>
      </c>
      <c r="O262" s="1">
        <v>1066.5</v>
      </c>
      <c r="P262" s="9">
        <f t="shared" si="4"/>
        <v>1066.5</v>
      </c>
      <c r="Q262" s="1"/>
      <c r="R262" s="11"/>
      <c r="S262" s="1"/>
      <c r="T262" s="1"/>
      <c r="U262" s="1"/>
    </row>
    <row r="263" spans="1:21" x14ac:dyDescent="0.3">
      <c r="A263" s="5">
        <v>10262</v>
      </c>
      <c r="B263" s="1">
        <v>1373</v>
      </c>
      <c r="C263" s="2">
        <v>44996</v>
      </c>
      <c r="D263" s="2">
        <v>44998</v>
      </c>
      <c r="E263" s="1" t="s">
        <v>15</v>
      </c>
      <c r="F263" s="1" t="s">
        <v>23</v>
      </c>
      <c r="G263" s="1" t="s">
        <v>17</v>
      </c>
      <c r="H263" s="1" t="s">
        <v>44</v>
      </c>
      <c r="I263" s="1" t="s">
        <v>57</v>
      </c>
      <c r="J263" s="1" t="s">
        <v>59</v>
      </c>
      <c r="K263" s="1" t="s">
        <v>21</v>
      </c>
      <c r="L263" s="1">
        <v>7</v>
      </c>
      <c r="M263" s="1">
        <v>2472.29</v>
      </c>
      <c r="N263" s="1">
        <v>10</v>
      </c>
      <c r="O263" s="1">
        <v>15575.43</v>
      </c>
      <c r="P263" s="9">
        <f t="shared" si="4"/>
        <v>17306.03</v>
      </c>
      <c r="Q263" s="1"/>
      <c r="R263" s="11"/>
      <c r="S263" s="1"/>
      <c r="T263" s="1"/>
      <c r="U263" s="1"/>
    </row>
    <row r="264" spans="1:21" x14ac:dyDescent="0.3">
      <c r="A264" s="5">
        <v>10263</v>
      </c>
      <c r="B264" s="1">
        <v>1671</v>
      </c>
      <c r="C264" s="2">
        <v>45053</v>
      </c>
      <c r="D264" s="2">
        <v>45059</v>
      </c>
      <c r="E264" s="1" t="s">
        <v>40</v>
      </c>
      <c r="F264" s="1" t="s">
        <v>38</v>
      </c>
      <c r="G264" s="1" t="s">
        <v>30</v>
      </c>
      <c r="H264" s="1" t="s">
        <v>35</v>
      </c>
      <c r="I264" s="1" t="s">
        <v>49</v>
      </c>
      <c r="J264" s="1" t="s">
        <v>63</v>
      </c>
      <c r="K264" s="1" t="s">
        <v>33</v>
      </c>
      <c r="L264" s="1">
        <v>7</v>
      </c>
      <c r="M264" s="1">
        <v>2165.86</v>
      </c>
      <c r="N264" s="1">
        <v>0</v>
      </c>
      <c r="O264" s="1">
        <v>15161.02</v>
      </c>
      <c r="P264" s="9">
        <f t="shared" si="4"/>
        <v>15161.02</v>
      </c>
      <c r="Q264" s="1"/>
      <c r="R264" s="11"/>
      <c r="S264" s="1"/>
      <c r="T264" s="1"/>
      <c r="U264" s="1"/>
    </row>
    <row r="265" spans="1:21" x14ac:dyDescent="0.3">
      <c r="A265" s="5">
        <v>10264</v>
      </c>
      <c r="B265" s="1">
        <v>1607</v>
      </c>
      <c r="C265" s="2">
        <v>45086</v>
      </c>
      <c r="D265" s="2">
        <v>45091</v>
      </c>
      <c r="E265" s="1" t="s">
        <v>15</v>
      </c>
      <c r="F265" s="1" t="s">
        <v>16</v>
      </c>
      <c r="G265" s="1" t="s">
        <v>30</v>
      </c>
      <c r="H265" s="1" t="s">
        <v>44</v>
      </c>
      <c r="I265" s="1" t="s">
        <v>52</v>
      </c>
      <c r="J265" s="1" t="s">
        <v>60</v>
      </c>
      <c r="K265" s="1" t="s">
        <v>47</v>
      </c>
      <c r="L265" s="1">
        <v>4</v>
      </c>
      <c r="M265" s="1">
        <v>1126.3</v>
      </c>
      <c r="N265" s="1">
        <v>20</v>
      </c>
      <c r="O265" s="1">
        <v>3604.16</v>
      </c>
      <c r="P265" s="9">
        <f t="shared" si="4"/>
        <v>4505.2</v>
      </c>
      <c r="Q265" s="1"/>
      <c r="R265" s="11"/>
      <c r="S265" s="1"/>
      <c r="T265" s="1"/>
      <c r="U265" s="1"/>
    </row>
    <row r="266" spans="1:21" x14ac:dyDescent="0.3">
      <c r="A266" s="5">
        <v>10265</v>
      </c>
      <c r="B266" s="1">
        <v>1471</v>
      </c>
      <c r="C266" s="2">
        <v>45174</v>
      </c>
      <c r="D266" s="2">
        <v>45179</v>
      </c>
      <c r="E266" s="1" t="s">
        <v>46</v>
      </c>
      <c r="F266" s="1" t="s">
        <v>38</v>
      </c>
      <c r="G266" s="1" t="s">
        <v>24</v>
      </c>
      <c r="H266" s="1" t="s">
        <v>18</v>
      </c>
      <c r="I266" s="1" t="s">
        <v>26</v>
      </c>
      <c r="J266" s="1" t="s">
        <v>61</v>
      </c>
      <c r="K266" s="1" t="s">
        <v>21</v>
      </c>
      <c r="L266" s="1">
        <v>9</v>
      </c>
      <c r="M266" s="1">
        <v>1963.16</v>
      </c>
      <c r="N266" s="1">
        <v>20</v>
      </c>
      <c r="O266" s="1">
        <v>14134.75</v>
      </c>
      <c r="P266" s="9">
        <f t="shared" si="4"/>
        <v>17668.440000000002</v>
      </c>
      <c r="Q266" s="1"/>
      <c r="R266" s="11"/>
      <c r="S266" s="1"/>
      <c r="T266" s="1"/>
      <c r="U266" s="1"/>
    </row>
    <row r="267" spans="1:21" x14ac:dyDescent="0.3">
      <c r="A267" s="5">
        <v>10266</v>
      </c>
      <c r="B267" s="1">
        <v>1232</v>
      </c>
      <c r="C267" s="2">
        <v>45129</v>
      </c>
      <c r="D267" s="2">
        <v>45134</v>
      </c>
      <c r="E267" s="1" t="s">
        <v>40</v>
      </c>
      <c r="F267" s="1" t="s">
        <v>16</v>
      </c>
      <c r="G267" s="1" t="s">
        <v>30</v>
      </c>
      <c r="H267" s="1" t="s">
        <v>35</v>
      </c>
      <c r="I267" s="1" t="s">
        <v>26</v>
      </c>
      <c r="J267" s="1" t="s">
        <v>61</v>
      </c>
      <c r="K267" s="1" t="s">
        <v>33</v>
      </c>
      <c r="L267" s="1">
        <v>8</v>
      </c>
      <c r="M267" s="1">
        <v>2045.09</v>
      </c>
      <c r="N267" s="1">
        <v>10</v>
      </c>
      <c r="O267" s="1">
        <v>14724.65</v>
      </c>
      <c r="P267" s="9">
        <f t="shared" si="4"/>
        <v>16360.72</v>
      </c>
      <c r="Q267" s="1"/>
      <c r="R267" s="11"/>
      <c r="S267" s="1"/>
      <c r="T267" s="1"/>
      <c r="U267" s="1"/>
    </row>
    <row r="268" spans="1:21" x14ac:dyDescent="0.3">
      <c r="A268" s="5">
        <v>10267</v>
      </c>
      <c r="B268" s="1">
        <v>1691</v>
      </c>
      <c r="C268" s="2">
        <v>45074</v>
      </c>
      <c r="D268" s="2">
        <v>45079</v>
      </c>
      <c r="E268" s="1" t="s">
        <v>40</v>
      </c>
      <c r="F268" s="1" t="s">
        <v>38</v>
      </c>
      <c r="G268" s="1" t="s">
        <v>30</v>
      </c>
      <c r="H268" s="1" t="s">
        <v>44</v>
      </c>
      <c r="I268" s="1" t="s">
        <v>52</v>
      </c>
      <c r="J268" s="1" t="s">
        <v>53</v>
      </c>
      <c r="K268" s="1" t="s">
        <v>47</v>
      </c>
      <c r="L268" s="1">
        <v>1</v>
      </c>
      <c r="M268" s="1">
        <v>900.78</v>
      </c>
      <c r="N268" s="1">
        <v>5</v>
      </c>
      <c r="O268" s="1">
        <v>855.74</v>
      </c>
      <c r="P268" s="9">
        <f t="shared" si="4"/>
        <v>900.78</v>
      </c>
      <c r="Q268" s="1"/>
      <c r="R268" s="11"/>
      <c r="S268" s="1"/>
      <c r="T268" s="1"/>
      <c r="U268" s="1"/>
    </row>
    <row r="269" spans="1:21" x14ac:dyDescent="0.3">
      <c r="A269" s="5">
        <v>10268</v>
      </c>
      <c r="B269" s="1">
        <v>1112</v>
      </c>
      <c r="C269" s="2">
        <v>45069</v>
      </c>
      <c r="D269" s="2">
        <v>45072</v>
      </c>
      <c r="E269" s="1" t="s">
        <v>37</v>
      </c>
      <c r="F269" s="1" t="s">
        <v>16</v>
      </c>
      <c r="G269" s="1" t="s">
        <v>30</v>
      </c>
      <c r="H269" s="1" t="s">
        <v>42</v>
      </c>
      <c r="I269" s="1" t="s">
        <v>31</v>
      </c>
      <c r="J269" s="1" t="s">
        <v>39</v>
      </c>
      <c r="K269" s="1" t="s">
        <v>28</v>
      </c>
      <c r="L269" s="1">
        <v>1</v>
      </c>
      <c r="M269" s="1">
        <v>2660.56</v>
      </c>
      <c r="N269" s="1">
        <v>10</v>
      </c>
      <c r="O269" s="1">
        <v>2394.5</v>
      </c>
      <c r="P269" s="9">
        <f t="shared" si="4"/>
        <v>2660.56</v>
      </c>
      <c r="Q269" s="1"/>
      <c r="R269" s="11"/>
      <c r="S269" s="1"/>
      <c r="T269" s="1"/>
      <c r="U269" s="1"/>
    </row>
    <row r="270" spans="1:21" x14ac:dyDescent="0.3">
      <c r="A270" s="5">
        <v>10269</v>
      </c>
      <c r="B270" s="1">
        <v>1829</v>
      </c>
      <c r="C270" s="2">
        <v>45125</v>
      </c>
      <c r="D270" s="2">
        <v>45132</v>
      </c>
      <c r="E270" s="1" t="s">
        <v>15</v>
      </c>
      <c r="F270" s="1" t="s">
        <v>41</v>
      </c>
      <c r="G270" s="1" t="s">
        <v>24</v>
      </c>
      <c r="H270" s="1" t="s">
        <v>35</v>
      </c>
      <c r="I270" s="1" t="s">
        <v>49</v>
      </c>
      <c r="J270" s="1" t="s">
        <v>51</v>
      </c>
      <c r="K270" s="1" t="s">
        <v>47</v>
      </c>
      <c r="L270" s="1">
        <v>5</v>
      </c>
      <c r="M270" s="1">
        <v>3156.54</v>
      </c>
      <c r="N270" s="1">
        <v>20</v>
      </c>
      <c r="O270" s="1">
        <v>12626.16</v>
      </c>
      <c r="P270" s="9">
        <f t="shared" si="4"/>
        <v>15782.7</v>
      </c>
      <c r="Q270" s="1"/>
      <c r="R270" s="11"/>
      <c r="S270" s="1"/>
      <c r="T270" s="1"/>
      <c r="U270" s="1"/>
    </row>
    <row r="271" spans="1:21" x14ac:dyDescent="0.3">
      <c r="A271" s="5">
        <v>10270</v>
      </c>
      <c r="B271" s="1">
        <v>1496</v>
      </c>
      <c r="C271" s="2">
        <v>45080</v>
      </c>
      <c r="D271" s="2">
        <v>45086</v>
      </c>
      <c r="E271" s="1" t="s">
        <v>22</v>
      </c>
      <c r="F271" s="1" t="s">
        <v>29</v>
      </c>
      <c r="G271" s="1" t="s">
        <v>24</v>
      </c>
      <c r="H271" s="1" t="s">
        <v>35</v>
      </c>
      <c r="I271" s="1" t="s">
        <v>31</v>
      </c>
      <c r="J271" s="1" t="s">
        <v>65</v>
      </c>
      <c r="K271" s="1" t="s">
        <v>45</v>
      </c>
      <c r="L271" s="1">
        <v>6</v>
      </c>
      <c r="M271" s="1">
        <v>3197.13</v>
      </c>
      <c r="N271" s="1">
        <v>10</v>
      </c>
      <c r="O271" s="1">
        <v>17264.5</v>
      </c>
      <c r="P271" s="9">
        <f t="shared" si="4"/>
        <v>19182.78</v>
      </c>
      <c r="Q271" s="1"/>
      <c r="R271" s="11"/>
      <c r="S271" s="1"/>
      <c r="T271" s="1"/>
      <c r="U271" s="1"/>
    </row>
    <row r="272" spans="1:21" x14ac:dyDescent="0.3">
      <c r="A272" s="5">
        <v>10271</v>
      </c>
      <c r="B272" s="1">
        <v>1441</v>
      </c>
      <c r="C272" s="2">
        <v>45068</v>
      </c>
      <c r="D272" s="2">
        <v>45072</v>
      </c>
      <c r="E272" s="1" t="s">
        <v>40</v>
      </c>
      <c r="F272" s="1" t="s">
        <v>16</v>
      </c>
      <c r="G272" s="1" t="s">
        <v>30</v>
      </c>
      <c r="H272" s="1" t="s">
        <v>25</v>
      </c>
      <c r="I272" s="1" t="s">
        <v>19</v>
      </c>
      <c r="J272" s="1" t="s">
        <v>66</v>
      </c>
      <c r="K272" s="1" t="s">
        <v>47</v>
      </c>
      <c r="L272" s="1">
        <v>3</v>
      </c>
      <c r="M272" s="1">
        <v>2469.5100000000002</v>
      </c>
      <c r="N272" s="1">
        <v>0</v>
      </c>
      <c r="O272" s="1">
        <v>7408.53</v>
      </c>
      <c r="P272" s="9">
        <f t="shared" si="4"/>
        <v>7408.5300000000007</v>
      </c>
      <c r="Q272" s="1"/>
      <c r="R272" s="11"/>
      <c r="S272" s="1"/>
      <c r="T272" s="1"/>
      <c r="U272" s="1"/>
    </row>
    <row r="273" spans="1:21" x14ac:dyDescent="0.3">
      <c r="A273" s="5">
        <v>10272</v>
      </c>
      <c r="B273" s="1">
        <v>1563</v>
      </c>
      <c r="C273" s="2">
        <v>45239</v>
      </c>
      <c r="D273" s="2">
        <v>45241</v>
      </c>
      <c r="E273" s="1" t="s">
        <v>22</v>
      </c>
      <c r="F273" s="1" t="s">
        <v>16</v>
      </c>
      <c r="G273" s="1" t="s">
        <v>17</v>
      </c>
      <c r="H273" s="1" t="s">
        <v>42</v>
      </c>
      <c r="I273" s="1" t="s">
        <v>31</v>
      </c>
      <c r="J273" s="1" t="s">
        <v>48</v>
      </c>
      <c r="K273" s="1" t="s">
        <v>47</v>
      </c>
      <c r="L273" s="1">
        <v>9</v>
      </c>
      <c r="M273" s="1">
        <v>2119.81</v>
      </c>
      <c r="N273" s="1">
        <v>10</v>
      </c>
      <c r="O273" s="1">
        <v>17170.46</v>
      </c>
      <c r="P273" s="9">
        <f t="shared" si="4"/>
        <v>19078.29</v>
      </c>
      <c r="Q273" s="1"/>
      <c r="R273" s="11"/>
      <c r="S273" s="1"/>
      <c r="T273" s="1"/>
      <c r="U273" s="1"/>
    </row>
    <row r="274" spans="1:21" x14ac:dyDescent="0.3">
      <c r="A274" s="5">
        <v>10273</v>
      </c>
      <c r="B274" s="1">
        <v>1267</v>
      </c>
      <c r="C274" s="2">
        <v>45091</v>
      </c>
      <c r="D274" s="2">
        <v>45100</v>
      </c>
      <c r="E274" s="1" t="s">
        <v>46</v>
      </c>
      <c r="F274" s="1" t="s">
        <v>54</v>
      </c>
      <c r="G274" s="1" t="s">
        <v>30</v>
      </c>
      <c r="H274" s="1" t="s">
        <v>18</v>
      </c>
      <c r="I274" s="1" t="s">
        <v>31</v>
      </c>
      <c r="J274" s="1" t="s">
        <v>39</v>
      </c>
      <c r="K274" s="1" t="s">
        <v>45</v>
      </c>
      <c r="L274" s="1">
        <v>6</v>
      </c>
      <c r="M274" s="1">
        <v>384.88</v>
      </c>
      <c r="N274" s="1">
        <v>5</v>
      </c>
      <c r="O274" s="1">
        <v>2193.8200000000002</v>
      </c>
      <c r="P274" s="9">
        <f t="shared" si="4"/>
        <v>2309.2799999999997</v>
      </c>
      <c r="Q274" s="1"/>
      <c r="R274" s="11"/>
      <c r="S274" s="1"/>
      <c r="T274" s="1"/>
      <c r="U274" s="1"/>
    </row>
    <row r="275" spans="1:21" x14ac:dyDescent="0.3">
      <c r="A275" s="5">
        <v>10274</v>
      </c>
      <c r="B275" s="1">
        <v>1509</v>
      </c>
      <c r="C275" s="2">
        <v>45240</v>
      </c>
      <c r="D275" s="2">
        <v>45241</v>
      </c>
      <c r="E275" s="1" t="s">
        <v>37</v>
      </c>
      <c r="F275" s="1" t="s">
        <v>16</v>
      </c>
      <c r="G275" s="1" t="s">
        <v>24</v>
      </c>
      <c r="H275" s="1" t="s">
        <v>44</v>
      </c>
      <c r="I275" s="1" t="s">
        <v>52</v>
      </c>
      <c r="J275" s="1" t="s">
        <v>60</v>
      </c>
      <c r="K275" s="1" t="s">
        <v>33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9">
        <f t="shared" si="4"/>
        <v>5032.6000000000004</v>
      </c>
      <c r="Q275" s="1"/>
      <c r="R275" s="11"/>
      <c r="S275" s="1"/>
      <c r="T275" s="1"/>
      <c r="U275" s="1"/>
    </row>
    <row r="276" spans="1:21" x14ac:dyDescent="0.3">
      <c r="A276" s="5">
        <v>10275</v>
      </c>
      <c r="B276" s="1">
        <v>1806</v>
      </c>
      <c r="C276" s="2">
        <v>44947</v>
      </c>
      <c r="D276" s="2">
        <v>44951</v>
      </c>
      <c r="E276" s="1" t="s">
        <v>16</v>
      </c>
      <c r="F276" s="1" t="s">
        <v>54</v>
      </c>
      <c r="G276" s="1" t="s">
        <v>24</v>
      </c>
      <c r="H276" s="1" t="s">
        <v>25</v>
      </c>
      <c r="I276" s="1" t="s">
        <v>52</v>
      </c>
      <c r="J276" s="1" t="s">
        <v>64</v>
      </c>
      <c r="K276" s="1" t="s">
        <v>33</v>
      </c>
      <c r="L276" s="1">
        <v>7</v>
      </c>
      <c r="M276" s="1">
        <v>509.1</v>
      </c>
      <c r="N276" s="1">
        <v>15</v>
      </c>
      <c r="O276" s="1">
        <v>3029.14</v>
      </c>
      <c r="P276" s="9">
        <f t="shared" si="4"/>
        <v>3563.7000000000003</v>
      </c>
      <c r="Q276" s="1"/>
      <c r="R276" s="11"/>
      <c r="S276" s="1"/>
      <c r="T276" s="1"/>
      <c r="U276" s="1"/>
    </row>
    <row r="277" spans="1:21" x14ac:dyDescent="0.3">
      <c r="A277" s="5">
        <v>10276</v>
      </c>
      <c r="B277" s="1">
        <v>1385</v>
      </c>
      <c r="C277" s="2">
        <v>45008</v>
      </c>
      <c r="D277" s="2">
        <v>45009</v>
      </c>
      <c r="E277" s="1" t="s">
        <v>22</v>
      </c>
      <c r="F277" s="1" t="s">
        <v>23</v>
      </c>
      <c r="G277" s="1" t="s">
        <v>24</v>
      </c>
      <c r="H277" s="1" t="s">
        <v>44</v>
      </c>
      <c r="I277" s="1" t="s">
        <v>52</v>
      </c>
      <c r="J277" s="1" t="s">
        <v>53</v>
      </c>
      <c r="K277" s="1" t="s">
        <v>47</v>
      </c>
      <c r="L277" s="1">
        <v>8</v>
      </c>
      <c r="M277" s="1">
        <v>3860.72</v>
      </c>
      <c r="N277" s="1">
        <v>20</v>
      </c>
      <c r="O277" s="1">
        <v>24708.61</v>
      </c>
      <c r="P277" s="9">
        <f t="shared" si="4"/>
        <v>30885.759999999998</v>
      </c>
      <c r="Q277" s="1"/>
      <c r="R277" s="11"/>
      <c r="S277" s="1"/>
      <c r="T277" s="1"/>
      <c r="U277" s="1"/>
    </row>
    <row r="278" spans="1:21" x14ac:dyDescent="0.3">
      <c r="A278" s="5">
        <v>10277</v>
      </c>
      <c r="B278" s="1">
        <v>1386</v>
      </c>
      <c r="C278" s="2">
        <v>44995</v>
      </c>
      <c r="D278" s="2">
        <v>45001</v>
      </c>
      <c r="E278" s="1" t="s">
        <v>40</v>
      </c>
      <c r="F278" s="1" t="s">
        <v>41</v>
      </c>
      <c r="G278" s="1" t="s">
        <v>30</v>
      </c>
      <c r="H278" s="1" t="s">
        <v>18</v>
      </c>
      <c r="I278" s="1" t="s">
        <v>26</v>
      </c>
      <c r="J278" s="1" t="s">
        <v>69</v>
      </c>
      <c r="K278" s="1" t="s">
        <v>45</v>
      </c>
      <c r="L278" s="1">
        <v>9</v>
      </c>
      <c r="M278" s="1">
        <v>670.06</v>
      </c>
      <c r="N278" s="1">
        <v>20</v>
      </c>
      <c r="O278" s="1">
        <v>4824.43</v>
      </c>
      <c r="P278" s="9">
        <f t="shared" si="4"/>
        <v>6030.5399999999991</v>
      </c>
      <c r="Q278" s="1"/>
      <c r="R278" s="11"/>
      <c r="S278" s="1"/>
      <c r="T278" s="1"/>
      <c r="U278" s="1"/>
    </row>
    <row r="279" spans="1:21" x14ac:dyDescent="0.3">
      <c r="A279" s="5">
        <v>10278</v>
      </c>
      <c r="B279" s="1">
        <v>1112</v>
      </c>
      <c r="C279" s="2">
        <v>45057</v>
      </c>
      <c r="D279" s="2">
        <v>45061</v>
      </c>
      <c r="E279" s="1" t="s">
        <v>46</v>
      </c>
      <c r="F279" s="1" t="s">
        <v>54</v>
      </c>
      <c r="G279" s="1" t="s">
        <v>17</v>
      </c>
      <c r="H279" s="1" t="s">
        <v>18</v>
      </c>
      <c r="I279" s="1" t="s">
        <v>19</v>
      </c>
      <c r="J279" s="1" t="s">
        <v>43</v>
      </c>
      <c r="K279" s="1" t="s">
        <v>45</v>
      </c>
      <c r="L279" s="1">
        <v>6</v>
      </c>
      <c r="M279" s="1">
        <v>734.34</v>
      </c>
      <c r="N279" s="1">
        <v>10</v>
      </c>
      <c r="O279" s="1">
        <v>3965.44</v>
      </c>
      <c r="P279" s="9">
        <f t="shared" si="4"/>
        <v>4406.04</v>
      </c>
      <c r="Q279" s="1"/>
      <c r="R279" s="11"/>
      <c r="S279" s="1"/>
      <c r="T279" s="1"/>
      <c r="U279" s="1"/>
    </row>
    <row r="280" spans="1:21" x14ac:dyDescent="0.3">
      <c r="A280" s="5">
        <v>10279</v>
      </c>
      <c r="B280" s="1">
        <v>1612</v>
      </c>
      <c r="C280" s="2">
        <v>45013</v>
      </c>
      <c r="D280" s="2">
        <v>45018</v>
      </c>
      <c r="E280" s="1" t="s">
        <v>34</v>
      </c>
      <c r="F280" s="1" t="s">
        <v>29</v>
      </c>
      <c r="G280" s="1" t="s">
        <v>24</v>
      </c>
      <c r="H280" s="1" t="s">
        <v>35</v>
      </c>
      <c r="I280" s="1" t="s">
        <v>52</v>
      </c>
      <c r="J280" s="1" t="s">
        <v>60</v>
      </c>
      <c r="K280" s="1" t="s">
        <v>28</v>
      </c>
      <c r="L280" s="1">
        <v>6</v>
      </c>
      <c r="M280" s="1">
        <v>3574.87</v>
      </c>
      <c r="N280" s="1">
        <v>0</v>
      </c>
      <c r="O280" s="1">
        <v>21449.22</v>
      </c>
      <c r="P280" s="9">
        <f t="shared" si="4"/>
        <v>21449.22</v>
      </c>
      <c r="Q280" s="1"/>
      <c r="R280" s="11"/>
      <c r="S280" s="1"/>
      <c r="T280" s="1"/>
      <c r="U280" s="1"/>
    </row>
    <row r="281" spans="1:21" x14ac:dyDescent="0.3">
      <c r="A281" s="5">
        <v>10280</v>
      </c>
      <c r="B281" s="1">
        <v>1624</v>
      </c>
      <c r="C281" s="2">
        <v>45144</v>
      </c>
      <c r="D281" s="2">
        <v>45149</v>
      </c>
      <c r="E281" s="1" t="s">
        <v>46</v>
      </c>
      <c r="F281" s="1" t="s">
        <v>41</v>
      </c>
      <c r="G281" s="1" t="s">
        <v>24</v>
      </c>
      <c r="H281" s="1" t="s">
        <v>18</v>
      </c>
      <c r="I281" s="1" t="s">
        <v>49</v>
      </c>
      <c r="J281" s="1" t="s">
        <v>68</v>
      </c>
      <c r="K281" s="1" t="s">
        <v>33</v>
      </c>
      <c r="L281" s="1">
        <v>8</v>
      </c>
      <c r="M281" s="1">
        <v>3784.12</v>
      </c>
      <c r="N281" s="1">
        <v>15</v>
      </c>
      <c r="O281" s="1">
        <v>25732.02</v>
      </c>
      <c r="P281" s="9">
        <f t="shared" si="4"/>
        <v>30272.959999999999</v>
      </c>
      <c r="Q281" s="1"/>
      <c r="R281" s="11"/>
      <c r="S281" s="1"/>
      <c r="T281" s="1"/>
      <c r="U281" s="1"/>
    </row>
    <row r="282" spans="1:21" x14ac:dyDescent="0.3">
      <c r="A282" s="5">
        <v>10281</v>
      </c>
      <c r="B282" s="1">
        <v>1951</v>
      </c>
      <c r="C282" s="2">
        <v>45231</v>
      </c>
      <c r="D282" s="2">
        <v>45240</v>
      </c>
      <c r="E282" s="1" t="s">
        <v>46</v>
      </c>
      <c r="F282" s="1" t="s">
        <v>54</v>
      </c>
      <c r="G282" s="1" t="s">
        <v>30</v>
      </c>
      <c r="H282" s="1" t="s">
        <v>44</v>
      </c>
      <c r="I282" s="1" t="s">
        <v>26</v>
      </c>
      <c r="J282" s="1" t="s">
        <v>69</v>
      </c>
      <c r="K282" s="1" t="s">
        <v>21</v>
      </c>
      <c r="L282" s="1">
        <v>5</v>
      </c>
      <c r="M282" s="1">
        <v>3098.44</v>
      </c>
      <c r="N282" s="1">
        <v>0</v>
      </c>
      <c r="O282" s="1">
        <v>15492.2</v>
      </c>
      <c r="P282" s="9">
        <f t="shared" si="4"/>
        <v>15492.2</v>
      </c>
      <c r="Q282" s="1"/>
      <c r="R282" s="11"/>
      <c r="S282" s="1"/>
      <c r="T282" s="1"/>
      <c r="U282" s="1"/>
    </row>
    <row r="283" spans="1:21" x14ac:dyDescent="0.3">
      <c r="A283" s="5">
        <v>10282</v>
      </c>
      <c r="B283" s="1">
        <v>1080</v>
      </c>
      <c r="C283" s="2">
        <v>45271</v>
      </c>
      <c r="D283" s="2">
        <v>45272</v>
      </c>
      <c r="E283" s="1" t="s">
        <v>37</v>
      </c>
      <c r="F283" s="1" t="s">
        <v>41</v>
      </c>
      <c r="G283" s="1" t="s">
        <v>17</v>
      </c>
      <c r="H283" s="1" t="s">
        <v>42</v>
      </c>
      <c r="I283" s="1" t="s">
        <v>57</v>
      </c>
      <c r="J283" s="1" t="s">
        <v>67</v>
      </c>
      <c r="K283" s="1" t="s">
        <v>33</v>
      </c>
      <c r="L283" s="1">
        <v>3</v>
      </c>
      <c r="M283" s="1">
        <v>170.81</v>
      </c>
      <c r="N283" s="1">
        <v>20</v>
      </c>
      <c r="O283" s="1">
        <v>409.94</v>
      </c>
      <c r="P283" s="9">
        <f t="shared" si="4"/>
        <v>512.43000000000006</v>
      </c>
      <c r="Q283" s="1"/>
      <c r="R283" s="11"/>
      <c r="S283" s="1"/>
      <c r="T283" s="1"/>
      <c r="U283" s="1"/>
    </row>
    <row r="284" spans="1:21" x14ac:dyDescent="0.3">
      <c r="A284" s="5">
        <v>10283</v>
      </c>
      <c r="B284" s="1">
        <v>1698</v>
      </c>
      <c r="C284" s="2">
        <v>45267</v>
      </c>
      <c r="D284" s="2">
        <v>45269</v>
      </c>
      <c r="E284" s="1" t="s">
        <v>16</v>
      </c>
      <c r="F284" s="1" t="s">
        <v>41</v>
      </c>
      <c r="G284" s="1" t="s">
        <v>30</v>
      </c>
      <c r="H284" s="1" t="s">
        <v>42</v>
      </c>
      <c r="I284" s="1" t="s">
        <v>49</v>
      </c>
      <c r="J284" s="1" t="s">
        <v>63</v>
      </c>
      <c r="K284" s="1" t="s">
        <v>33</v>
      </c>
      <c r="L284" s="1">
        <v>3</v>
      </c>
      <c r="M284" s="1">
        <v>155.18</v>
      </c>
      <c r="N284" s="1">
        <v>0</v>
      </c>
      <c r="O284" s="1">
        <v>465.54</v>
      </c>
      <c r="P284" s="9">
        <f t="shared" si="4"/>
        <v>465.54</v>
      </c>
      <c r="Q284" s="1"/>
      <c r="R284" s="11"/>
      <c r="S284" s="1"/>
      <c r="T284" s="1"/>
      <c r="U284" s="1"/>
    </row>
    <row r="285" spans="1:21" x14ac:dyDescent="0.3">
      <c r="A285" s="5">
        <v>10284</v>
      </c>
      <c r="B285" s="1">
        <v>1112</v>
      </c>
      <c r="C285" s="2">
        <v>45087</v>
      </c>
      <c r="D285" s="2">
        <v>45093</v>
      </c>
      <c r="E285" s="1" t="s">
        <v>34</v>
      </c>
      <c r="F285" s="1" t="s">
        <v>41</v>
      </c>
      <c r="G285" s="1" t="s">
        <v>24</v>
      </c>
      <c r="H285" s="1" t="s">
        <v>35</v>
      </c>
      <c r="I285" s="1" t="s">
        <v>49</v>
      </c>
      <c r="J285" s="1" t="s">
        <v>51</v>
      </c>
      <c r="K285" s="1" t="s">
        <v>28</v>
      </c>
      <c r="L285" s="1">
        <v>6</v>
      </c>
      <c r="M285" s="1">
        <v>1605.69</v>
      </c>
      <c r="N285" s="1">
        <v>15</v>
      </c>
      <c r="O285" s="1">
        <v>8189.02</v>
      </c>
      <c r="P285" s="9">
        <f t="shared" si="4"/>
        <v>9634.14</v>
      </c>
      <c r="Q285" s="1"/>
      <c r="R285" s="11"/>
      <c r="S285" s="1"/>
      <c r="T285" s="1"/>
      <c r="U285" s="1"/>
    </row>
    <row r="286" spans="1:21" x14ac:dyDescent="0.3">
      <c r="A286" s="5">
        <v>10285</v>
      </c>
      <c r="B286" s="1">
        <v>1001</v>
      </c>
      <c r="C286" s="2">
        <v>45104</v>
      </c>
      <c r="D286" s="2">
        <v>45109</v>
      </c>
      <c r="E286" s="1" t="s">
        <v>15</v>
      </c>
      <c r="F286" s="1" t="s">
        <v>23</v>
      </c>
      <c r="G286" s="1" t="s">
        <v>17</v>
      </c>
      <c r="H286" s="1" t="s">
        <v>44</v>
      </c>
      <c r="I286" s="1" t="s">
        <v>52</v>
      </c>
      <c r="J286" s="1" t="s">
        <v>56</v>
      </c>
      <c r="K286" s="1" t="s">
        <v>21</v>
      </c>
      <c r="L286" s="1">
        <v>2</v>
      </c>
      <c r="M286" s="1">
        <v>702.07</v>
      </c>
      <c r="N286" s="1">
        <v>10</v>
      </c>
      <c r="O286" s="1">
        <v>1263.73</v>
      </c>
      <c r="P286" s="9">
        <f t="shared" si="4"/>
        <v>1404.14</v>
      </c>
      <c r="Q286" s="1"/>
      <c r="R286" s="11"/>
      <c r="S286" s="1"/>
      <c r="T286" s="1"/>
      <c r="U286" s="1"/>
    </row>
    <row r="287" spans="1:21" x14ac:dyDescent="0.3">
      <c r="A287" s="5">
        <v>10286</v>
      </c>
      <c r="B287" s="1">
        <v>1641</v>
      </c>
      <c r="C287" s="2">
        <v>45043</v>
      </c>
      <c r="D287" s="2">
        <v>45050</v>
      </c>
      <c r="E287" s="1" t="s">
        <v>15</v>
      </c>
      <c r="F287" s="1" t="s">
        <v>29</v>
      </c>
      <c r="G287" s="1" t="s">
        <v>17</v>
      </c>
      <c r="H287" s="1" t="s">
        <v>44</v>
      </c>
      <c r="I287" s="1" t="s">
        <v>57</v>
      </c>
      <c r="J287" s="1" t="s">
        <v>58</v>
      </c>
      <c r="K287" s="1" t="s">
        <v>28</v>
      </c>
      <c r="L287" s="1">
        <v>6</v>
      </c>
      <c r="M287" s="1">
        <v>220.79</v>
      </c>
      <c r="N287" s="1">
        <v>5</v>
      </c>
      <c r="O287" s="1">
        <v>1258.5</v>
      </c>
      <c r="P287" s="9">
        <f t="shared" si="4"/>
        <v>1324.74</v>
      </c>
      <c r="Q287" s="1"/>
      <c r="R287" s="11"/>
      <c r="S287" s="1"/>
      <c r="T287" s="1"/>
      <c r="U287" s="1"/>
    </row>
    <row r="288" spans="1:21" x14ac:dyDescent="0.3">
      <c r="A288" s="5">
        <v>10287</v>
      </c>
      <c r="B288" s="1">
        <v>1219</v>
      </c>
      <c r="C288" s="2">
        <v>45122</v>
      </c>
      <c r="D288" s="2">
        <v>45125</v>
      </c>
      <c r="E288" s="1" t="s">
        <v>22</v>
      </c>
      <c r="F288" s="1" t="s">
        <v>38</v>
      </c>
      <c r="G288" s="1" t="s">
        <v>24</v>
      </c>
      <c r="H288" s="1" t="s">
        <v>18</v>
      </c>
      <c r="I288" s="1" t="s">
        <v>57</v>
      </c>
      <c r="J288" s="1" t="s">
        <v>67</v>
      </c>
      <c r="K288" s="1" t="s">
        <v>21</v>
      </c>
      <c r="L288" s="1">
        <v>6</v>
      </c>
      <c r="M288" s="1">
        <v>1936.66</v>
      </c>
      <c r="N288" s="1">
        <v>0</v>
      </c>
      <c r="O288" s="1">
        <v>11619.96</v>
      </c>
      <c r="P288" s="9">
        <f t="shared" si="4"/>
        <v>11619.960000000001</v>
      </c>
      <c r="Q288" s="1"/>
      <c r="R288" s="11"/>
      <c r="S288" s="1"/>
      <c r="T288" s="1"/>
      <c r="U288" s="1"/>
    </row>
    <row r="289" spans="1:21" x14ac:dyDescent="0.3">
      <c r="A289" s="5">
        <v>10288</v>
      </c>
      <c r="B289" s="1">
        <v>1565</v>
      </c>
      <c r="C289" s="2">
        <v>45253</v>
      </c>
      <c r="D289" s="2">
        <v>45256</v>
      </c>
      <c r="E289" s="1" t="s">
        <v>46</v>
      </c>
      <c r="F289" s="1" t="s">
        <v>38</v>
      </c>
      <c r="G289" s="1" t="s">
        <v>17</v>
      </c>
      <c r="H289" s="1" t="s">
        <v>44</v>
      </c>
      <c r="I289" s="1" t="s">
        <v>26</v>
      </c>
      <c r="J289" s="1" t="s">
        <v>36</v>
      </c>
      <c r="K289" s="1" t="s">
        <v>47</v>
      </c>
      <c r="L289" s="1">
        <v>8</v>
      </c>
      <c r="M289" s="1">
        <v>3780.79</v>
      </c>
      <c r="N289" s="1">
        <v>5</v>
      </c>
      <c r="O289" s="1">
        <v>28734</v>
      </c>
      <c r="P289" s="9">
        <f t="shared" si="4"/>
        <v>30246.32</v>
      </c>
      <c r="Q289" s="1"/>
      <c r="R289" s="11"/>
      <c r="S289" s="1"/>
      <c r="T289" s="1"/>
      <c r="U289" s="1"/>
    </row>
    <row r="290" spans="1:21" x14ac:dyDescent="0.3">
      <c r="A290" s="5">
        <v>10289</v>
      </c>
      <c r="B290" s="1">
        <v>1854</v>
      </c>
      <c r="C290" s="2">
        <v>45012</v>
      </c>
      <c r="D290" s="2">
        <v>45014</v>
      </c>
      <c r="E290" s="1" t="s">
        <v>37</v>
      </c>
      <c r="F290" s="1" t="s">
        <v>54</v>
      </c>
      <c r="G290" s="1" t="s">
        <v>17</v>
      </c>
      <c r="H290" s="1" t="s">
        <v>25</v>
      </c>
      <c r="I290" s="1" t="s">
        <v>57</v>
      </c>
      <c r="J290" s="1" t="s">
        <v>58</v>
      </c>
      <c r="K290" s="1" t="s">
        <v>21</v>
      </c>
      <c r="L290" s="1">
        <v>7</v>
      </c>
      <c r="M290" s="1">
        <v>1396.71</v>
      </c>
      <c r="N290" s="1">
        <v>20</v>
      </c>
      <c r="O290" s="1">
        <v>7821.58</v>
      </c>
      <c r="P290" s="9">
        <f t="shared" si="4"/>
        <v>9776.9700000000012</v>
      </c>
      <c r="Q290" s="1"/>
      <c r="R290" s="11"/>
      <c r="S290" s="1"/>
      <c r="T290" s="1"/>
      <c r="U290" s="1"/>
    </row>
    <row r="291" spans="1:21" x14ac:dyDescent="0.3">
      <c r="A291" s="5">
        <v>10290</v>
      </c>
      <c r="B291" s="1">
        <v>1996</v>
      </c>
      <c r="C291" s="2">
        <v>45215</v>
      </c>
      <c r="D291" s="2">
        <v>45218</v>
      </c>
      <c r="E291" s="1" t="s">
        <v>37</v>
      </c>
      <c r="F291" s="1" t="s">
        <v>41</v>
      </c>
      <c r="G291" s="1" t="s">
        <v>30</v>
      </c>
      <c r="H291" s="1" t="s">
        <v>18</v>
      </c>
      <c r="I291" s="1" t="s">
        <v>19</v>
      </c>
      <c r="J291" s="1" t="s">
        <v>20</v>
      </c>
      <c r="K291" s="1" t="s">
        <v>28</v>
      </c>
      <c r="L291" s="1">
        <v>8</v>
      </c>
      <c r="M291" s="1">
        <v>2695.39</v>
      </c>
      <c r="N291" s="1">
        <v>10</v>
      </c>
      <c r="O291" s="1">
        <v>19406.810000000001</v>
      </c>
      <c r="P291" s="9">
        <f t="shared" si="4"/>
        <v>21563.119999999999</v>
      </c>
      <c r="Q291" s="1"/>
      <c r="R291" s="11"/>
      <c r="S291" s="1"/>
      <c r="T291" s="1"/>
      <c r="U291" s="1"/>
    </row>
    <row r="292" spans="1:21" x14ac:dyDescent="0.3">
      <c r="A292" s="5">
        <v>10291</v>
      </c>
      <c r="B292" s="1">
        <v>1735</v>
      </c>
      <c r="C292" s="2">
        <v>45007</v>
      </c>
      <c r="D292" s="2">
        <v>45008</v>
      </c>
      <c r="E292" s="1" t="s">
        <v>15</v>
      </c>
      <c r="F292" s="1" t="s">
        <v>54</v>
      </c>
      <c r="G292" s="1" t="s">
        <v>24</v>
      </c>
      <c r="H292" s="1" t="s">
        <v>25</v>
      </c>
      <c r="I292" s="1" t="s">
        <v>52</v>
      </c>
      <c r="J292" s="1" t="s">
        <v>53</v>
      </c>
      <c r="K292" s="1" t="s">
        <v>33</v>
      </c>
      <c r="L292" s="1">
        <v>9</v>
      </c>
      <c r="M292" s="1">
        <v>2661.11</v>
      </c>
      <c r="N292" s="1">
        <v>10</v>
      </c>
      <c r="O292" s="1">
        <v>21554.99</v>
      </c>
      <c r="P292" s="9">
        <f t="shared" si="4"/>
        <v>23949.99</v>
      </c>
      <c r="Q292" s="1"/>
      <c r="R292" s="11"/>
      <c r="S292" s="1"/>
      <c r="T292" s="1"/>
      <c r="U292" s="1"/>
    </row>
    <row r="293" spans="1:21" x14ac:dyDescent="0.3">
      <c r="A293" s="5">
        <v>10292</v>
      </c>
      <c r="B293" s="1">
        <v>1224</v>
      </c>
      <c r="C293" s="2">
        <v>45078</v>
      </c>
      <c r="D293" s="2">
        <v>45083</v>
      </c>
      <c r="E293" s="1" t="s">
        <v>22</v>
      </c>
      <c r="F293" s="1" t="s">
        <v>23</v>
      </c>
      <c r="G293" s="1" t="s">
        <v>24</v>
      </c>
      <c r="H293" s="1" t="s">
        <v>35</v>
      </c>
      <c r="I293" s="1" t="s">
        <v>57</v>
      </c>
      <c r="J293" s="1" t="s">
        <v>67</v>
      </c>
      <c r="K293" s="1" t="s">
        <v>21</v>
      </c>
      <c r="L293" s="1">
        <v>6</v>
      </c>
      <c r="M293" s="1">
        <v>1116.6600000000001</v>
      </c>
      <c r="N293" s="1">
        <v>0</v>
      </c>
      <c r="O293" s="1">
        <v>6699.96</v>
      </c>
      <c r="P293" s="9">
        <f t="shared" si="4"/>
        <v>6699.9600000000009</v>
      </c>
      <c r="Q293" s="1"/>
      <c r="R293" s="11"/>
      <c r="S293" s="1"/>
      <c r="T293" s="1"/>
      <c r="U293" s="1"/>
    </row>
    <row r="294" spans="1:21" x14ac:dyDescent="0.3">
      <c r="A294" s="5">
        <v>10293</v>
      </c>
      <c r="B294" s="1">
        <v>1384</v>
      </c>
      <c r="C294" s="2">
        <v>44987</v>
      </c>
      <c r="D294" s="2">
        <v>44992</v>
      </c>
      <c r="E294" s="1" t="s">
        <v>22</v>
      </c>
      <c r="F294" s="1" t="s">
        <v>23</v>
      </c>
      <c r="G294" s="1" t="s">
        <v>24</v>
      </c>
      <c r="H294" s="1" t="s">
        <v>42</v>
      </c>
      <c r="I294" s="1" t="s">
        <v>26</v>
      </c>
      <c r="J294" s="1" t="s">
        <v>27</v>
      </c>
      <c r="K294" s="1" t="s">
        <v>21</v>
      </c>
      <c r="L294" s="1">
        <v>3</v>
      </c>
      <c r="M294" s="1">
        <v>2654.14</v>
      </c>
      <c r="N294" s="1">
        <v>10</v>
      </c>
      <c r="O294" s="1">
        <v>7166.18</v>
      </c>
      <c r="P294" s="9">
        <f t="shared" si="4"/>
        <v>7962.42</v>
      </c>
      <c r="Q294" s="1"/>
      <c r="R294" s="11"/>
      <c r="S294" s="1"/>
      <c r="T294" s="1"/>
      <c r="U294" s="1"/>
    </row>
    <row r="295" spans="1:21" x14ac:dyDescent="0.3">
      <c r="A295" s="5">
        <v>10294</v>
      </c>
      <c r="B295" s="1">
        <v>1402</v>
      </c>
      <c r="C295" s="2">
        <v>44987</v>
      </c>
      <c r="D295" s="2">
        <v>44994</v>
      </c>
      <c r="E295" s="1" t="s">
        <v>22</v>
      </c>
      <c r="F295" s="1" t="s">
        <v>16</v>
      </c>
      <c r="G295" s="1" t="s">
        <v>24</v>
      </c>
      <c r="H295" s="1" t="s">
        <v>35</v>
      </c>
      <c r="I295" s="1" t="s">
        <v>19</v>
      </c>
      <c r="J295" s="1" t="s">
        <v>43</v>
      </c>
      <c r="K295" s="1" t="s">
        <v>45</v>
      </c>
      <c r="L295" s="1">
        <v>3</v>
      </c>
      <c r="M295" s="1">
        <v>967.49</v>
      </c>
      <c r="N295" s="1">
        <v>0</v>
      </c>
      <c r="O295" s="1">
        <v>2902.47</v>
      </c>
      <c r="P295" s="9">
        <f t="shared" si="4"/>
        <v>2902.4700000000003</v>
      </c>
      <c r="Q295" s="1"/>
      <c r="R295" s="11"/>
      <c r="S295" s="1"/>
      <c r="T295" s="1"/>
      <c r="U295" s="1"/>
    </row>
    <row r="296" spans="1:21" x14ac:dyDescent="0.3">
      <c r="A296" s="5">
        <v>10295</v>
      </c>
      <c r="B296" s="1">
        <v>1637</v>
      </c>
      <c r="C296" s="2">
        <v>45280</v>
      </c>
      <c r="D296" s="2">
        <v>45284</v>
      </c>
      <c r="E296" s="1" t="s">
        <v>34</v>
      </c>
      <c r="F296" s="1" t="s">
        <v>23</v>
      </c>
      <c r="G296" s="1" t="s">
        <v>24</v>
      </c>
      <c r="H296" s="1" t="s">
        <v>42</v>
      </c>
      <c r="I296" s="1" t="s">
        <v>31</v>
      </c>
      <c r="J296" s="1" t="s">
        <v>48</v>
      </c>
      <c r="K296" s="1" t="s">
        <v>33</v>
      </c>
      <c r="L296" s="1">
        <v>1</v>
      </c>
      <c r="M296" s="1">
        <v>619.73</v>
      </c>
      <c r="N296" s="1">
        <v>0</v>
      </c>
      <c r="O296" s="1">
        <v>619.73</v>
      </c>
      <c r="P296" s="9">
        <f t="shared" si="4"/>
        <v>619.73</v>
      </c>
      <c r="Q296" s="1"/>
      <c r="R296" s="11"/>
      <c r="S296" s="1"/>
      <c r="T296" s="1"/>
      <c r="U296" s="1"/>
    </row>
    <row r="297" spans="1:21" x14ac:dyDescent="0.3">
      <c r="A297" s="5">
        <v>10296</v>
      </c>
      <c r="B297" s="1">
        <v>1129</v>
      </c>
      <c r="C297" s="2">
        <v>44954</v>
      </c>
      <c r="D297" s="2">
        <v>44957</v>
      </c>
      <c r="E297" s="1" t="s">
        <v>16</v>
      </c>
      <c r="F297" s="1" t="s">
        <v>16</v>
      </c>
      <c r="G297" s="1" t="s">
        <v>17</v>
      </c>
      <c r="H297" s="1" t="s">
        <v>35</v>
      </c>
      <c r="I297" s="1" t="s">
        <v>31</v>
      </c>
      <c r="J297" s="1" t="s">
        <v>48</v>
      </c>
      <c r="K297" s="1" t="s">
        <v>47</v>
      </c>
      <c r="L297" s="1">
        <v>5</v>
      </c>
      <c r="M297" s="1">
        <v>2850.33</v>
      </c>
      <c r="N297" s="1">
        <v>5</v>
      </c>
      <c r="O297" s="1">
        <v>13539.07</v>
      </c>
      <c r="P297" s="9">
        <f t="shared" si="4"/>
        <v>14251.65</v>
      </c>
      <c r="Q297" s="1"/>
      <c r="R297" s="11"/>
      <c r="S297" s="1"/>
      <c r="T297" s="1"/>
      <c r="U297" s="1"/>
    </row>
    <row r="298" spans="1:21" x14ac:dyDescent="0.3">
      <c r="A298" s="5">
        <v>10297</v>
      </c>
      <c r="B298" s="1">
        <v>1052</v>
      </c>
      <c r="C298" s="2">
        <v>44969</v>
      </c>
      <c r="D298" s="2">
        <v>44970</v>
      </c>
      <c r="E298" s="1" t="s">
        <v>34</v>
      </c>
      <c r="F298" s="1" t="s">
        <v>29</v>
      </c>
      <c r="G298" s="1" t="s">
        <v>30</v>
      </c>
      <c r="H298" s="1" t="s">
        <v>44</v>
      </c>
      <c r="I298" s="1" t="s">
        <v>19</v>
      </c>
      <c r="J298" s="1" t="s">
        <v>20</v>
      </c>
      <c r="K298" s="1" t="s">
        <v>28</v>
      </c>
      <c r="L298" s="1">
        <v>4</v>
      </c>
      <c r="M298" s="1">
        <v>586.75</v>
      </c>
      <c r="N298" s="1">
        <v>10</v>
      </c>
      <c r="O298" s="1">
        <v>2112.3000000000002</v>
      </c>
      <c r="P298" s="9">
        <f t="shared" si="4"/>
        <v>2347</v>
      </c>
      <c r="Q298" s="1"/>
      <c r="R298" s="11"/>
      <c r="S298" s="1"/>
      <c r="T298" s="1"/>
      <c r="U298" s="1"/>
    </row>
    <row r="299" spans="1:21" x14ac:dyDescent="0.3">
      <c r="A299" s="5">
        <v>10298</v>
      </c>
      <c r="B299" s="1">
        <v>1683</v>
      </c>
      <c r="C299" s="2">
        <v>45095</v>
      </c>
      <c r="D299" s="2">
        <v>45103</v>
      </c>
      <c r="E299" s="1" t="s">
        <v>40</v>
      </c>
      <c r="F299" s="1" t="s">
        <v>54</v>
      </c>
      <c r="G299" s="1" t="s">
        <v>24</v>
      </c>
      <c r="H299" s="1" t="s">
        <v>25</v>
      </c>
      <c r="I299" s="1" t="s">
        <v>26</v>
      </c>
      <c r="J299" s="1" t="s">
        <v>36</v>
      </c>
      <c r="K299" s="1" t="s">
        <v>47</v>
      </c>
      <c r="L299" s="1">
        <v>9</v>
      </c>
      <c r="M299" s="1">
        <v>3988.1</v>
      </c>
      <c r="N299" s="1">
        <v>0</v>
      </c>
      <c r="O299" s="1">
        <v>35892.9</v>
      </c>
      <c r="P299" s="9">
        <f t="shared" si="4"/>
        <v>35892.9</v>
      </c>
      <c r="Q299" s="1"/>
      <c r="R299" s="11"/>
      <c r="S299" s="1"/>
      <c r="T299" s="1"/>
      <c r="U299" s="1"/>
    </row>
    <row r="300" spans="1:21" x14ac:dyDescent="0.3">
      <c r="A300" s="5">
        <v>10299</v>
      </c>
      <c r="B300" s="1">
        <v>1729</v>
      </c>
      <c r="C300" s="2">
        <v>45012</v>
      </c>
      <c r="D300" s="2">
        <v>45015</v>
      </c>
      <c r="E300" s="1" t="s">
        <v>40</v>
      </c>
      <c r="F300" s="1" t="s">
        <v>29</v>
      </c>
      <c r="G300" s="1" t="s">
        <v>30</v>
      </c>
      <c r="H300" s="1" t="s">
        <v>42</v>
      </c>
      <c r="I300" s="1" t="s">
        <v>19</v>
      </c>
      <c r="J300" s="1" t="s">
        <v>43</v>
      </c>
      <c r="K300" s="1" t="s">
        <v>33</v>
      </c>
      <c r="L300" s="1">
        <v>9</v>
      </c>
      <c r="M300" s="1">
        <v>856.29</v>
      </c>
      <c r="N300" s="1">
        <v>5</v>
      </c>
      <c r="O300" s="1">
        <v>7321.28</v>
      </c>
      <c r="P300" s="9">
        <f t="shared" si="4"/>
        <v>7706.61</v>
      </c>
      <c r="Q300" s="1"/>
      <c r="R300" s="11"/>
      <c r="S300" s="1"/>
      <c r="T300" s="1"/>
      <c r="U300" s="1"/>
    </row>
    <row r="301" spans="1:21" x14ac:dyDescent="0.3">
      <c r="A301" s="5">
        <v>10300</v>
      </c>
      <c r="B301" s="1">
        <v>1671</v>
      </c>
      <c r="C301" s="2">
        <v>45103</v>
      </c>
      <c r="D301" s="2">
        <v>45105</v>
      </c>
      <c r="E301" s="1" t="s">
        <v>16</v>
      </c>
      <c r="F301" s="1" t="s">
        <v>23</v>
      </c>
      <c r="G301" s="1" t="s">
        <v>30</v>
      </c>
      <c r="H301" s="1" t="s">
        <v>18</v>
      </c>
      <c r="I301" s="1" t="s">
        <v>52</v>
      </c>
      <c r="J301" s="1" t="s">
        <v>53</v>
      </c>
      <c r="K301" s="1" t="s">
        <v>21</v>
      </c>
      <c r="L301" s="1">
        <v>5</v>
      </c>
      <c r="M301" s="1">
        <v>2437.4499999999998</v>
      </c>
      <c r="N301" s="1">
        <v>15</v>
      </c>
      <c r="O301" s="1">
        <v>10359.16</v>
      </c>
      <c r="P301" s="9">
        <f t="shared" si="4"/>
        <v>12187.25</v>
      </c>
      <c r="Q301" s="1"/>
      <c r="R301" s="11"/>
      <c r="S301" s="1"/>
      <c r="T301" s="1"/>
      <c r="U301" s="1"/>
    </row>
    <row r="302" spans="1:21" x14ac:dyDescent="0.3">
      <c r="A302" s="5">
        <v>10301</v>
      </c>
      <c r="B302" s="1">
        <v>1709</v>
      </c>
      <c r="C302" s="2">
        <v>44943</v>
      </c>
      <c r="D302" s="2">
        <v>44947</v>
      </c>
      <c r="E302" s="1" t="s">
        <v>15</v>
      </c>
      <c r="F302" s="1" t="s">
        <v>29</v>
      </c>
      <c r="G302" s="1" t="s">
        <v>17</v>
      </c>
      <c r="H302" s="1" t="s">
        <v>25</v>
      </c>
      <c r="I302" s="1" t="s">
        <v>52</v>
      </c>
      <c r="J302" s="1" t="s">
        <v>53</v>
      </c>
      <c r="K302" s="1" t="s">
        <v>21</v>
      </c>
      <c r="L302" s="1">
        <v>4</v>
      </c>
      <c r="M302" s="1">
        <v>1733.79</v>
      </c>
      <c r="N302" s="1">
        <v>5</v>
      </c>
      <c r="O302" s="1">
        <v>6588.4</v>
      </c>
      <c r="P302" s="9">
        <f t="shared" si="4"/>
        <v>6935.16</v>
      </c>
      <c r="Q302" s="1"/>
      <c r="R302" s="11"/>
      <c r="S302" s="1"/>
      <c r="T302" s="1"/>
      <c r="U302" s="1"/>
    </row>
    <row r="303" spans="1:21" x14ac:dyDescent="0.3">
      <c r="A303" s="5">
        <v>10302</v>
      </c>
      <c r="B303" s="1">
        <v>1415</v>
      </c>
      <c r="C303" s="2">
        <v>45024</v>
      </c>
      <c r="D303" s="2">
        <v>45027</v>
      </c>
      <c r="E303" s="1" t="s">
        <v>16</v>
      </c>
      <c r="F303" s="1" t="s">
        <v>29</v>
      </c>
      <c r="G303" s="1" t="s">
        <v>24</v>
      </c>
      <c r="H303" s="1" t="s">
        <v>18</v>
      </c>
      <c r="I303" s="1" t="s">
        <v>31</v>
      </c>
      <c r="J303" s="1" t="s">
        <v>65</v>
      </c>
      <c r="K303" s="1" t="s">
        <v>33</v>
      </c>
      <c r="L303" s="1">
        <v>7</v>
      </c>
      <c r="M303" s="1">
        <v>636.59</v>
      </c>
      <c r="N303" s="1">
        <v>5</v>
      </c>
      <c r="O303" s="1">
        <v>4233.32</v>
      </c>
      <c r="P303" s="9">
        <f t="shared" si="4"/>
        <v>4456.13</v>
      </c>
      <c r="Q303" s="1"/>
      <c r="R303" s="11"/>
      <c r="S303" s="1"/>
      <c r="T303" s="1"/>
      <c r="U303" s="1"/>
    </row>
    <row r="304" spans="1:21" x14ac:dyDescent="0.3">
      <c r="A304" s="5">
        <v>10303</v>
      </c>
      <c r="B304" s="1">
        <v>1246</v>
      </c>
      <c r="C304" s="2">
        <v>45124</v>
      </c>
      <c r="D304" s="2">
        <v>45125</v>
      </c>
      <c r="E304" s="1" t="s">
        <v>37</v>
      </c>
      <c r="F304" s="1" t="s">
        <v>29</v>
      </c>
      <c r="G304" s="1" t="s">
        <v>17</v>
      </c>
      <c r="H304" s="1" t="s">
        <v>25</v>
      </c>
      <c r="I304" s="1" t="s">
        <v>57</v>
      </c>
      <c r="J304" s="1" t="s">
        <v>67</v>
      </c>
      <c r="K304" s="1" t="s">
        <v>21</v>
      </c>
      <c r="L304" s="1">
        <v>6</v>
      </c>
      <c r="M304" s="1">
        <v>257.2</v>
      </c>
      <c r="N304" s="1">
        <v>0</v>
      </c>
      <c r="O304" s="1">
        <v>1543.2</v>
      </c>
      <c r="P304" s="9">
        <f t="shared" si="4"/>
        <v>1543.1999999999998</v>
      </c>
      <c r="Q304" s="1"/>
      <c r="R304" s="11"/>
      <c r="S304" s="1"/>
      <c r="T304" s="1"/>
      <c r="U304" s="1"/>
    </row>
    <row r="305" spans="1:21" x14ac:dyDescent="0.3">
      <c r="A305" s="5">
        <v>10304</v>
      </c>
      <c r="B305" s="1">
        <v>1835</v>
      </c>
      <c r="C305" s="2">
        <v>45024</v>
      </c>
      <c r="D305" s="2">
        <v>45027</v>
      </c>
      <c r="E305" s="1" t="s">
        <v>40</v>
      </c>
      <c r="F305" s="1" t="s">
        <v>23</v>
      </c>
      <c r="G305" s="1" t="s">
        <v>24</v>
      </c>
      <c r="H305" s="1" t="s">
        <v>25</v>
      </c>
      <c r="I305" s="1" t="s">
        <v>26</v>
      </c>
      <c r="J305" s="1" t="s">
        <v>61</v>
      </c>
      <c r="K305" s="1" t="s">
        <v>21</v>
      </c>
      <c r="L305" s="1">
        <v>4</v>
      </c>
      <c r="M305" s="1">
        <v>2547.52</v>
      </c>
      <c r="N305" s="1">
        <v>20</v>
      </c>
      <c r="O305" s="1">
        <v>8152.06</v>
      </c>
      <c r="P305" s="9">
        <f t="shared" si="4"/>
        <v>10190.08</v>
      </c>
      <c r="Q305" s="1"/>
      <c r="R305" s="11"/>
      <c r="S305" s="1"/>
      <c r="T305" s="1"/>
      <c r="U305" s="1"/>
    </row>
    <row r="306" spans="1:21" x14ac:dyDescent="0.3">
      <c r="A306" s="5">
        <v>10305</v>
      </c>
      <c r="B306" s="1">
        <v>1438</v>
      </c>
      <c r="C306" s="2">
        <v>44991</v>
      </c>
      <c r="D306" s="2">
        <v>44993</v>
      </c>
      <c r="E306" s="1" t="s">
        <v>46</v>
      </c>
      <c r="F306" s="1" t="s">
        <v>41</v>
      </c>
      <c r="G306" s="1" t="s">
        <v>17</v>
      </c>
      <c r="H306" s="1" t="s">
        <v>35</v>
      </c>
      <c r="I306" s="1" t="s">
        <v>31</v>
      </c>
      <c r="J306" s="1" t="s">
        <v>48</v>
      </c>
      <c r="K306" s="1" t="s">
        <v>21</v>
      </c>
      <c r="L306" s="1">
        <v>2</v>
      </c>
      <c r="M306" s="1">
        <v>3256.02</v>
      </c>
      <c r="N306" s="1">
        <v>20</v>
      </c>
      <c r="O306" s="1">
        <v>5209.63</v>
      </c>
      <c r="P306" s="9">
        <f t="shared" si="4"/>
        <v>6512.04</v>
      </c>
      <c r="Q306" s="1"/>
      <c r="R306" s="11"/>
      <c r="S306" s="1"/>
      <c r="T306" s="1"/>
      <c r="U306" s="1"/>
    </row>
    <row r="307" spans="1:21" x14ac:dyDescent="0.3">
      <c r="A307" s="5">
        <v>10306</v>
      </c>
      <c r="B307" s="1">
        <v>1202</v>
      </c>
      <c r="C307" s="2">
        <v>45256</v>
      </c>
      <c r="D307" s="2">
        <v>45264</v>
      </c>
      <c r="E307" s="1" t="s">
        <v>46</v>
      </c>
      <c r="F307" s="1" t="s">
        <v>29</v>
      </c>
      <c r="G307" s="1" t="s">
        <v>30</v>
      </c>
      <c r="H307" s="1" t="s">
        <v>42</v>
      </c>
      <c r="I307" s="1" t="s">
        <v>57</v>
      </c>
      <c r="J307" s="1" t="s">
        <v>62</v>
      </c>
      <c r="K307" s="1" t="s">
        <v>28</v>
      </c>
      <c r="L307" s="1">
        <v>1</v>
      </c>
      <c r="M307" s="1">
        <v>3391.76</v>
      </c>
      <c r="N307" s="1">
        <v>20</v>
      </c>
      <c r="O307" s="1">
        <v>2713.41</v>
      </c>
      <c r="P307" s="9">
        <f t="shared" si="4"/>
        <v>3391.76</v>
      </c>
      <c r="Q307" s="1"/>
      <c r="R307" s="11"/>
      <c r="S307" s="1"/>
      <c r="T307" s="1"/>
      <c r="U307" s="1"/>
    </row>
    <row r="308" spans="1:21" x14ac:dyDescent="0.3">
      <c r="A308" s="5">
        <v>10307</v>
      </c>
      <c r="B308" s="1">
        <v>1183</v>
      </c>
      <c r="C308" s="2">
        <v>45267</v>
      </c>
      <c r="D308" s="2">
        <v>45273</v>
      </c>
      <c r="E308" s="1" t="s">
        <v>15</v>
      </c>
      <c r="F308" s="1" t="s">
        <v>16</v>
      </c>
      <c r="G308" s="1" t="s">
        <v>24</v>
      </c>
      <c r="H308" s="1" t="s">
        <v>42</v>
      </c>
      <c r="I308" s="1" t="s">
        <v>57</v>
      </c>
      <c r="J308" s="1" t="s">
        <v>58</v>
      </c>
      <c r="K308" s="1" t="s">
        <v>28</v>
      </c>
      <c r="L308" s="1">
        <v>4</v>
      </c>
      <c r="M308" s="1">
        <v>2008.45</v>
      </c>
      <c r="N308" s="1">
        <v>5</v>
      </c>
      <c r="O308" s="1">
        <v>7632.11</v>
      </c>
      <c r="P308" s="9">
        <f t="shared" si="4"/>
        <v>8033.8</v>
      </c>
      <c r="Q308" s="1"/>
      <c r="R308" s="11"/>
      <c r="S308" s="1"/>
      <c r="T308" s="1"/>
      <c r="U308" s="1"/>
    </row>
    <row r="309" spans="1:21" x14ac:dyDescent="0.3">
      <c r="A309" s="5">
        <v>10308</v>
      </c>
      <c r="B309" s="1">
        <v>1122</v>
      </c>
      <c r="C309" s="2">
        <v>44931</v>
      </c>
      <c r="D309" s="2">
        <v>44940</v>
      </c>
      <c r="E309" s="1" t="s">
        <v>37</v>
      </c>
      <c r="F309" s="1" t="s">
        <v>23</v>
      </c>
      <c r="G309" s="1" t="s">
        <v>30</v>
      </c>
      <c r="H309" s="1" t="s">
        <v>25</v>
      </c>
      <c r="I309" s="1" t="s">
        <v>52</v>
      </c>
      <c r="J309" s="1" t="s">
        <v>53</v>
      </c>
      <c r="K309" s="1" t="s">
        <v>45</v>
      </c>
      <c r="L309" s="1">
        <v>4</v>
      </c>
      <c r="M309" s="1">
        <v>3143.2</v>
      </c>
      <c r="N309" s="1">
        <v>0</v>
      </c>
      <c r="O309" s="1">
        <v>12572.8</v>
      </c>
      <c r="P309" s="9">
        <f t="shared" si="4"/>
        <v>12572.8</v>
      </c>
      <c r="Q309" s="1"/>
      <c r="R309" s="11"/>
      <c r="S309" s="1"/>
      <c r="T309" s="1"/>
      <c r="U309" s="1"/>
    </row>
    <row r="310" spans="1:21" x14ac:dyDescent="0.3">
      <c r="A310" s="5">
        <v>10309</v>
      </c>
      <c r="B310" s="1">
        <v>1400</v>
      </c>
      <c r="C310" s="2">
        <v>44928</v>
      </c>
      <c r="D310" s="2">
        <v>44936</v>
      </c>
      <c r="E310" s="1" t="s">
        <v>34</v>
      </c>
      <c r="F310" s="1" t="s">
        <v>29</v>
      </c>
      <c r="G310" s="1" t="s">
        <v>30</v>
      </c>
      <c r="H310" s="1" t="s">
        <v>44</v>
      </c>
      <c r="I310" s="1" t="s">
        <v>49</v>
      </c>
      <c r="J310" s="1" t="s">
        <v>51</v>
      </c>
      <c r="K310" s="1" t="s">
        <v>47</v>
      </c>
      <c r="L310" s="1">
        <v>1</v>
      </c>
      <c r="M310" s="1">
        <v>2740.46</v>
      </c>
      <c r="N310" s="1">
        <v>10</v>
      </c>
      <c r="O310" s="1">
        <v>2466.41</v>
      </c>
      <c r="P310" s="9">
        <f t="shared" si="4"/>
        <v>2740.46</v>
      </c>
      <c r="Q310" s="1"/>
      <c r="R310" s="11"/>
      <c r="S310" s="1"/>
      <c r="T310" s="1"/>
      <c r="U310" s="1"/>
    </row>
    <row r="311" spans="1:21" x14ac:dyDescent="0.3">
      <c r="A311" s="5">
        <v>10310</v>
      </c>
      <c r="B311" s="1">
        <v>1766</v>
      </c>
      <c r="C311" s="2">
        <v>44948</v>
      </c>
      <c r="D311" s="2">
        <v>44951</v>
      </c>
      <c r="E311" s="1" t="s">
        <v>37</v>
      </c>
      <c r="F311" s="1" t="s">
        <v>41</v>
      </c>
      <c r="G311" s="1" t="s">
        <v>17</v>
      </c>
      <c r="H311" s="1" t="s">
        <v>44</v>
      </c>
      <c r="I311" s="1" t="s">
        <v>49</v>
      </c>
      <c r="J311" s="1" t="s">
        <v>51</v>
      </c>
      <c r="K311" s="1" t="s">
        <v>33</v>
      </c>
      <c r="L311" s="1">
        <v>6</v>
      </c>
      <c r="M311" s="1">
        <v>2938.38</v>
      </c>
      <c r="N311" s="1">
        <v>5</v>
      </c>
      <c r="O311" s="1">
        <v>16748.77</v>
      </c>
      <c r="P311" s="9">
        <f t="shared" si="4"/>
        <v>17630.28</v>
      </c>
      <c r="Q311" s="1"/>
      <c r="R311" s="11"/>
      <c r="S311" s="1"/>
      <c r="T311" s="1"/>
      <c r="U311" s="1"/>
    </row>
    <row r="312" spans="1:21" x14ac:dyDescent="0.3">
      <c r="A312" s="5">
        <v>10311</v>
      </c>
      <c r="B312" s="1">
        <v>1293</v>
      </c>
      <c r="C312" s="2">
        <v>45038</v>
      </c>
      <c r="D312" s="2">
        <v>45043</v>
      </c>
      <c r="E312" s="1" t="s">
        <v>46</v>
      </c>
      <c r="F312" s="1" t="s">
        <v>23</v>
      </c>
      <c r="G312" s="1" t="s">
        <v>24</v>
      </c>
      <c r="H312" s="1" t="s">
        <v>18</v>
      </c>
      <c r="I312" s="1" t="s">
        <v>19</v>
      </c>
      <c r="J312" s="1" t="s">
        <v>43</v>
      </c>
      <c r="K312" s="1" t="s">
        <v>33</v>
      </c>
      <c r="L312" s="1">
        <v>4</v>
      </c>
      <c r="M312" s="1">
        <v>2046.51</v>
      </c>
      <c r="N312" s="1">
        <v>5</v>
      </c>
      <c r="O312" s="1">
        <v>7776.74</v>
      </c>
      <c r="P312" s="9">
        <f t="shared" si="4"/>
        <v>8186.04</v>
      </c>
      <c r="Q312" s="1"/>
      <c r="R312" s="11"/>
      <c r="S312" s="1"/>
      <c r="T312" s="1"/>
      <c r="U312" s="1"/>
    </row>
    <row r="313" spans="1:21" x14ac:dyDescent="0.3">
      <c r="A313" s="5">
        <v>10312</v>
      </c>
      <c r="B313" s="1">
        <v>1279</v>
      </c>
      <c r="C313" s="2">
        <v>44983</v>
      </c>
      <c r="D313" s="2">
        <v>44990</v>
      </c>
      <c r="E313" s="1" t="s">
        <v>46</v>
      </c>
      <c r="F313" s="1" t="s">
        <v>38</v>
      </c>
      <c r="G313" s="1" t="s">
        <v>30</v>
      </c>
      <c r="H313" s="1" t="s">
        <v>18</v>
      </c>
      <c r="I313" s="1" t="s">
        <v>52</v>
      </c>
      <c r="J313" s="1" t="s">
        <v>56</v>
      </c>
      <c r="K313" s="1" t="s">
        <v>33</v>
      </c>
      <c r="L313" s="1">
        <v>1</v>
      </c>
      <c r="M313" s="1">
        <v>2588.64</v>
      </c>
      <c r="N313" s="1">
        <v>0</v>
      </c>
      <c r="O313" s="1">
        <v>2588.64</v>
      </c>
      <c r="P313" s="9">
        <f t="shared" si="4"/>
        <v>2588.64</v>
      </c>
      <c r="Q313" s="1"/>
      <c r="R313" s="11"/>
      <c r="S313" s="1"/>
      <c r="T313" s="1"/>
      <c r="U313" s="1"/>
    </row>
    <row r="314" spans="1:21" x14ac:dyDescent="0.3">
      <c r="A314" s="5">
        <v>10313</v>
      </c>
      <c r="B314" s="1">
        <v>1836</v>
      </c>
      <c r="C314" s="2">
        <v>44992</v>
      </c>
      <c r="D314" s="2">
        <v>44997</v>
      </c>
      <c r="E314" s="1" t="s">
        <v>40</v>
      </c>
      <c r="F314" s="1" t="s">
        <v>41</v>
      </c>
      <c r="G314" s="1" t="s">
        <v>17</v>
      </c>
      <c r="H314" s="1" t="s">
        <v>35</v>
      </c>
      <c r="I314" s="1" t="s">
        <v>57</v>
      </c>
      <c r="J314" s="1" t="s">
        <v>62</v>
      </c>
      <c r="K314" s="1" t="s">
        <v>45</v>
      </c>
      <c r="L314" s="1">
        <v>1</v>
      </c>
      <c r="M314" s="1">
        <v>3251.27</v>
      </c>
      <c r="N314" s="1">
        <v>15</v>
      </c>
      <c r="O314" s="1">
        <v>2763.58</v>
      </c>
      <c r="P314" s="9">
        <f t="shared" si="4"/>
        <v>3251.27</v>
      </c>
      <c r="Q314" s="1"/>
      <c r="R314" s="11"/>
      <c r="S314" s="1"/>
      <c r="T314" s="1"/>
      <c r="U314" s="1"/>
    </row>
    <row r="315" spans="1:21" x14ac:dyDescent="0.3">
      <c r="A315" s="5">
        <v>10314</v>
      </c>
      <c r="B315" s="1">
        <v>1883</v>
      </c>
      <c r="C315" s="2">
        <v>45256</v>
      </c>
      <c r="D315" s="2">
        <v>45264</v>
      </c>
      <c r="E315" s="1" t="s">
        <v>37</v>
      </c>
      <c r="F315" s="1" t="s">
        <v>16</v>
      </c>
      <c r="G315" s="1" t="s">
        <v>24</v>
      </c>
      <c r="H315" s="1" t="s">
        <v>25</v>
      </c>
      <c r="I315" s="1" t="s">
        <v>26</v>
      </c>
      <c r="J315" s="1" t="s">
        <v>69</v>
      </c>
      <c r="K315" s="1" t="s">
        <v>28</v>
      </c>
      <c r="L315" s="1">
        <v>1</v>
      </c>
      <c r="M315" s="1">
        <v>1681.85</v>
      </c>
      <c r="N315" s="1">
        <v>5</v>
      </c>
      <c r="O315" s="1">
        <v>1597.76</v>
      </c>
      <c r="P315" s="9">
        <f t="shared" si="4"/>
        <v>1681.85</v>
      </c>
      <c r="Q315" s="1"/>
      <c r="R315" s="11"/>
      <c r="S315" s="1"/>
      <c r="T315" s="1"/>
      <c r="U315" s="1"/>
    </row>
    <row r="316" spans="1:21" x14ac:dyDescent="0.3">
      <c r="A316" s="5">
        <v>10315</v>
      </c>
      <c r="B316" s="1">
        <v>1609</v>
      </c>
      <c r="C316" s="2">
        <v>45024</v>
      </c>
      <c r="D316" s="2">
        <v>45029</v>
      </c>
      <c r="E316" s="1" t="s">
        <v>37</v>
      </c>
      <c r="F316" s="1" t="s">
        <v>29</v>
      </c>
      <c r="G316" s="1" t="s">
        <v>24</v>
      </c>
      <c r="H316" s="1" t="s">
        <v>18</v>
      </c>
      <c r="I316" s="1" t="s">
        <v>49</v>
      </c>
      <c r="J316" s="1" t="s">
        <v>50</v>
      </c>
      <c r="K316" s="1" t="s">
        <v>45</v>
      </c>
      <c r="L316" s="1">
        <v>8</v>
      </c>
      <c r="M316" s="1">
        <v>3253.02</v>
      </c>
      <c r="N316" s="1">
        <v>15</v>
      </c>
      <c r="O316" s="1">
        <v>22120.54</v>
      </c>
      <c r="P316" s="9">
        <f t="shared" si="4"/>
        <v>26024.16</v>
      </c>
      <c r="Q316" s="1"/>
      <c r="R316" s="11"/>
      <c r="S316" s="1"/>
      <c r="T316" s="1"/>
      <c r="U316" s="1"/>
    </row>
    <row r="317" spans="1:21" x14ac:dyDescent="0.3">
      <c r="A317" s="5">
        <v>10316</v>
      </c>
      <c r="B317" s="1">
        <v>1197</v>
      </c>
      <c r="C317" s="2">
        <v>45070</v>
      </c>
      <c r="D317" s="2">
        <v>45071</v>
      </c>
      <c r="E317" s="1" t="s">
        <v>46</v>
      </c>
      <c r="F317" s="1" t="s">
        <v>38</v>
      </c>
      <c r="G317" s="1" t="s">
        <v>30</v>
      </c>
      <c r="H317" s="1" t="s">
        <v>18</v>
      </c>
      <c r="I317" s="1" t="s">
        <v>57</v>
      </c>
      <c r="J317" s="1" t="s">
        <v>58</v>
      </c>
      <c r="K317" s="1" t="s">
        <v>33</v>
      </c>
      <c r="L317" s="1">
        <v>8</v>
      </c>
      <c r="M317" s="1">
        <v>2429.2600000000002</v>
      </c>
      <c r="N317" s="1">
        <v>15</v>
      </c>
      <c r="O317" s="1">
        <v>16518.97</v>
      </c>
      <c r="P317" s="9">
        <f t="shared" si="4"/>
        <v>19434.080000000002</v>
      </c>
      <c r="Q317" s="1"/>
      <c r="R317" s="11"/>
      <c r="S317" s="1"/>
      <c r="T317" s="1"/>
      <c r="U317" s="1"/>
    </row>
    <row r="318" spans="1:21" x14ac:dyDescent="0.3">
      <c r="A318" s="5">
        <v>10317</v>
      </c>
      <c r="B318" s="1">
        <v>1981</v>
      </c>
      <c r="C318" s="2">
        <v>45051</v>
      </c>
      <c r="D318" s="2">
        <v>45056</v>
      </c>
      <c r="E318" s="1" t="s">
        <v>34</v>
      </c>
      <c r="F318" s="1" t="s">
        <v>38</v>
      </c>
      <c r="G318" s="1" t="s">
        <v>24</v>
      </c>
      <c r="H318" s="1" t="s">
        <v>25</v>
      </c>
      <c r="I318" s="1" t="s">
        <v>49</v>
      </c>
      <c r="J318" s="1" t="s">
        <v>63</v>
      </c>
      <c r="K318" s="1" t="s">
        <v>47</v>
      </c>
      <c r="L318" s="1">
        <v>2</v>
      </c>
      <c r="M318" s="1">
        <v>788.72</v>
      </c>
      <c r="N318" s="1">
        <v>20</v>
      </c>
      <c r="O318" s="1">
        <v>1261.95</v>
      </c>
      <c r="P318" s="9">
        <f t="shared" si="4"/>
        <v>1577.44</v>
      </c>
      <c r="Q318" s="1"/>
      <c r="R318" s="11"/>
      <c r="S318" s="1"/>
      <c r="T318" s="1"/>
      <c r="U318" s="1"/>
    </row>
    <row r="319" spans="1:21" x14ac:dyDescent="0.3">
      <c r="A319" s="5">
        <v>10318</v>
      </c>
      <c r="B319" s="1">
        <v>1906</v>
      </c>
      <c r="C319" s="2">
        <v>45093</v>
      </c>
      <c r="D319" s="2">
        <v>45097</v>
      </c>
      <c r="E319" s="1" t="s">
        <v>15</v>
      </c>
      <c r="F319" s="1" t="s">
        <v>23</v>
      </c>
      <c r="G319" s="1" t="s">
        <v>30</v>
      </c>
      <c r="H319" s="1" t="s">
        <v>35</v>
      </c>
      <c r="I319" s="1" t="s">
        <v>49</v>
      </c>
      <c r="J319" s="1" t="s">
        <v>68</v>
      </c>
      <c r="K319" s="1" t="s">
        <v>21</v>
      </c>
      <c r="L319" s="1">
        <v>7</v>
      </c>
      <c r="M319" s="1">
        <v>245.03</v>
      </c>
      <c r="N319" s="1">
        <v>0</v>
      </c>
      <c r="O319" s="1">
        <v>1715.21</v>
      </c>
      <c r="P319" s="9">
        <f t="shared" si="4"/>
        <v>1715.21</v>
      </c>
      <c r="Q319" s="1"/>
      <c r="R319" s="11"/>
      <c r="S319" s="1"/>
      <c r="T319" s="1"/>
      <c r="U319" s="1"/>
    </row>
    <row r="320" spans="1:21" x14ac:dyDescent="0.3">
      <c r="A320" s="5">
        <v>10319</v>
      </c>
      <c r="B320" s="1">
        <v>1510</v>
      </c>
      <c r="C320" s="2">
        <v>45012</v>
      </c>
      <c r="D320" s="2">
        <v>45018</v>
      </c>
      <c r="E320" s="1" t="s">
        <v>22</v>
      </c>
      <c r="F320" s="1" t="s">
        <v>38</v>
      </c>
      <c r="G320" s="1" t="s">
        <v>24</v>
      </c>
      <c r="H320" s="1" t="s">
        <v>18</v>
      </c>
      <c r="I320" s="1" t="s">
        <v>49</v>
      </c>
      <c r="J320" s="1" t="s">
        <v>50</v>
      </c>
      <c r="K320" s="1" t="s">
        <v>28</v>
      </c>
      <c r="L320" s="1">
        <v>8</v>
      </c>
      <c r="M320" s="1">
        <v>1546.6</v>
      </c>
      <c r="N320" s="1">
        <v>15</v>
      </c>
      <c r="O320" s="1">
        <v>10516.88</v>
      </c>
      <c r="P320" s="9">
        <f t="shared" si="4"/>
        <v>12372.8</v>
      </c>
      <c r="Q320" s="1"/>
      <c r="R320" s="11"/>
      <c r="S320" s="1"/>
      <c r="T320" s="1"/>
      <c r="U320" s="1"/>
    </row>
    <row r="321" spans="1:21" x14ac:dyDescent="0.3">
      <c r="A321" s="5">
        <v>10320</v>
      </c>
      <c r="B321" s="1">
        <v>1751</v>
      </c>
      <c r="C321" s="2">
        <v>45002</v>
      </c>
      <c r="D321" s="2">
        <v>45005</v>
      </c>
      <c r="E321" s="1" t="s">
        <v>15</v>
      </c>
      <c r="F321" s="1" t="s">
        <v>16</v>
      </c>
      <c r="G321" s="1" t="s">
        <v>17</v>
      </c>
      <c r="H321" s="1" t="s">
        <v>35</v>
      </c>
      <c r="I321" s="1" t="s">
        <v>26</v>
      </c>
      <c r="J321" s="1" t="s">
        <v>36</v>
      </c>
      <c r="K321" s="1" t="s">
        <v>28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9">
        <f t="shared" si="4"/>
        <v>18038.240000000002</v>
      </c>
      <c r="Q321" s="1"/>
      <c r="R321" s="11"/>
      <c r="S321" s="1"/>
      <c r="T321" s="1"/>
      <c r="U321" s="1"/>
    </row>
    <row r="322" spans="1:21" x14ac:dyDescent="0.3">
      <c r="A322" s="5">
        <v>10321</v>
      </c>
      <c r="B322" s="1">
        <v>1143</v>
      </c>
      <c r="C322" s="2">
        <v>45270</v>
      </c>
      <c r="D322" s="2">
        <v>45275</v>
      </c>
      <c r="E322" s="1" t="s">
        <v>37</v>
      </c>
      <c r="F322" s="1" t="s">
        <v>16</v>
      </c>
      <c r="G322" s="1" t="s">
        <v>30</v>
      </c>
      <c r="H322" s="1" t="s">
        <v>42</v>
      </c>
      <c r="I322" s="1" t="s">
        <v>52</v>
      </c>
      <c r="J322" s="1" t="s">
        <v>60</v>
      </c>
      <c r="K322" s="1" t="s">
        <v>45</v>
      </c>
      <c r="L322" s="1">
        <v>7</v>
      </c>
      <c r="M322" s="1">
        <v>3383.31</v>
      </c>
      <c r="N322" s="1">
        <v>20</v>
      </c>
      <c r="O322" s="1">
        <v>18946.54</v>
      </c>
      <c r="P322" s="9">
        <f t="shared" si="4"/>
        <v>23683.17</v>
      </c>
      <c r="Q322" s="1"/>
      <c r="R322" s="11"/>
      <c r="S322" s="1"/>
      <c r="T322" s="1"/>
      <c r="U322" s="1"/>
    </row>
    <row r="323" spans="1:21" x14ac:dyDescent="0.3">
      <c r="A323" s="5">
        <v>10322</v>
      </c>
      <c r="B323" s="1">
        <v>1608</v>
      </c>
      <c r="C323" s="2">
        <v>45220</v>
      </c>
      <c r="D323" s="2">
        <v>45222</v>
      </c>
      <c r="E323" s="1" t="s">
        <v>15</v>
      </c>
      <c r="F323" s="1" t="s">
        <v>54</v>
      </c>
      <c r="G323" s="1" t="s">
        <v>30</v>
      </c>
      <c r="H323" s="1" t="s">
        <v>35</v>
      </c>
      <c r="I323" s="1" t="s">
        <v>26</v>
      </c>
      <c r="J323" s="1" t="s">
        <v>61</v>
      </c>
      <c r="K323" s="1" t="s">
        <v>28</v>
      </c>
      <c r="L323" s="1">
        <v>5</v>
      </c>
      <c r="M323" s="1">
        <v>640.82000000000005</v>
      </c>
      <c r="N323" s="1">
        <v>0</v>
      </c>
      <c r="O323" s="1">
        <v>3204.1</v>
      </c>
      <c r="P323" s="9">
        <f t="shared" ref="P323:P386" si="5">L323*M323</f>
        <v>3204.1000000000004</v>
      </c>
      <c r="Q323" s="1"/>
      <c r="R323" s="11"/>
      <c r="S323" s="1"/>
      <c r="T323" s="1"/>
      <c r="U323" s="1"/>
    </row>
    <row r="324" spans="1:21" x14ac:dyDescent="0.3">
      <c r="A324" s="5">
        <v>10323</v>
      </c>
      <c r="B324" s="1">
        <v>1200</v>
      </c>
      <c r="C324" s="2">
        <v>44985</v>
      </c>
      <c r="D324" s="2">
        <v>44991</v>
      </c>
      <c r="E324" s="1" t="s">
        <v>46</v>
      </c>
      <c r="F324" s="1" t="s">
        <v>16</v>
      </c>
      <c r="G324" s="1" t="s">
        <v>24</v>
      </c>
      <c r="H324" s="1" t="s">
        <v>44</v>
      </c>
      <c r="I324" s="1" t="s">
        <v>31</v>
      </c>
      <c r="J324" s="1" t="s">
        <v>48</v>
      </c>
      <c r="K324" s="1" t="s">
        <v>33</v>
      </c>
      <c r="L324" s="1">
        <v>1</v>
      </c>
      <c r="M324" s="1">
        <v>3230.79</v>
      </c>
      <c r="N324" s="1">
        <v>5</v>
      </c>
      <c r="O324" s="1">
        <v>3069.25</v>
      </c>
      <c r="P324" s="9">
        <f t="shared" si="5"/>
        <v>3230.79</v>
      </c>
      <c r="Q324" s="1"/>
      <c r="R324" s="11"/>
      <c r="S324" s="1"/>
      <c r="T324" s="1"/>
      <c r="U324" s="1"/>
    </row>
    <row r="325" spans="1:21" x14ac:dyDescent="0.3">
      <c r="A325" s="5">
        <v>10324</v>
      </c>
      <c r="B325" s="1">
        <v>1123</v>
      </c>
      <c r="C325" s="2">
        <v>45064</v>
      </c>
      <c r="D325" s="2">
        <v>45070</v>
      </c>
      <c r="E325" s="1" t="s">
        <v>46</v>
      </c>
      <c r="F325" s="1" t="s">
        <v>41</v>
      </c>
      <c r="G325" s="1" t="s">
        <v>24</v>
      </c>
      <c r="H325" s="1" t="s">
        <v>44</v>
      </c>
      <c r="I325" s="1" t="s">
        <v>57</v>
      </c>
      <c r="J325" s="1" t="s">
        <v>58</v>
      </c>
      <c r="K325" s="1" t="s">
        <v>33</v>
      </c>
      <c r="L325" s="1">
        <v>9</v>
      </c>
      <c r="M325" s="1">
        <v>3472.58</v>
      </c>
      <c r="N325" s="1">
        <v>15</v>
      </c>
      <c r="O325" s="1">
        <v>26565.24</v>
      </c>
      <c r="P325" s="9">
        <f t="shared" si="5"/>
        <v>31253.22</v>
      </c>
      <c r="Q325" s="1"/>
      <c r="R325" s="11"/>
      <c r="S325" s="1"/>
      <c r="T325" s="1"/>
      <c r="U325" s="1"/>
    </row>
    <row r="326" spans="1:21" x14ac:dyDescent="0.3">
      <c r="A326" s="5">
        <v>10325</v>
      </c>
      <c r="B326" s="1">
        <v>1186</v>
      </c>
      <c r="C326" s="2">
        <v>45025</v>
      </c>
      <c r="D326" s="2">
        <v>45030</v>
      </c>
      <c r="E326" s="1" t="s">
        <v>37</v>
      </c>
      <c r="F326" s="1" t="s">
        <v>38</v>
      </c>
      <c r="G326" s="1" t="s">
        <v>30</v>
      </c>
      <c r="H326" s="1" t="s">
        <v>35</v>
      </c>
      <c r="I326" s="1" t="s">
        <v>52</v>
      </c>
      <c r="J326" s="1" t="s">
        <v>64</v>
      </c>
      <c r="K326" s="1" t="s">
        <v>45</v>
      </c>
      <c r="L326" s="1">
        <v>7</v>
      </c>
      <c r="M326" s="1">
        <v>730.15</v>
      </c>
      <c r="N326" s="1">
        <v>0</v>
      </c>
      <c r="O326" s="1">
        <v>5111.05</v>
      </c>
      <c r="P326" s="9">
        <f t="shared" si="5"/>
        <v>5111.05</v>
      </c>
      <c r="Q326" s="1"/>
      <c r="R326" s="11"/>
      <c r="S326" s="1"/>
      <c r="T326" s="1"/>
      <c r="U326" s="1"/>
    </row>
    <row r="327" spans="1:21" x14ac:dyDescent="0.3">
      <c r="A327" s="5">
        <v>10326</v>
      </c>
      <c r="B327" s="1">
        <v>1325</v>
      </c>
      <c r="C327" s="2">
        <v>45118</v>
      </c>
      <c r="D327" s="2">
        <v>45124</v>
      </c>
      <c r="E327" s="1" t="s">
        <v>37</v>
      </c>
      <c r="F327" s="1" t="s">
        <v>16</v>
      </c>
      <c r="G327" s="1" t="s">
        <v>24</v>
      </c>
      <c r="H327" s="1" t="s">
        <v>44</v>
      </c>
      <c r="I327" s="1" t="s">
        <v>52</v>
      </c>
      <c r="J327" s="1" t="s">
        <v>60</v>
      </c>
      <c r="K327" s="1" t="s">
        <v>33</v>
      </c>
      <c r="L327" s="1">
        <v>2</v>
      </c>
      <c r="M327" s="1">
        <v>3428.64</v>
      </c>
      <c r="N327" s="1">
        <v>10</v>
      </c>
      <c r="O327" s="1">
        <v>6171.55</v>
      </c>
      <c r="P327" s="9">
        <f t="shared" si="5"/>
        <v>6857.28</v>
      </c>
      <c r="Q327" s="1"/>
      <c r="R327" s="11"/>
      <c r="S327" s="1"/>
      <c r="T327" s="1"/>
      <c r="U327" s="1"/>
    </row>
    <row r="328" spans="1:21" x14ac:dyDescent="0.3">
      <c r="A328" s="5">
        <v>10327</v>
      </c>
      <c r="B328" s="1">
        <v>1463</v>
      </c>
      <c r="C328" s="2">
        <v>45169</v>
      </c>
      <c r="D328" s="2">
        <v>45176</v>
      </c>
      <c r="E328" s="1" t="s">
        <v>22</v>
      </c>
      <c r="F328" s="1" t="s">
        <v>23</v>
      </c>
      <c r="G328" s="1" t="s">
        <v>17</v>
      </c>
      <c r="H328" s="1" t="s">
        <v>42</v>
      </c>
      <c r="I328" s="1" t="s">
        <v>52</v>
      </c>
      <c r="J328" s="1" t="s">
        <v>60</v>
      </c>
      <c r="K328" s="1" t="s">
        <v>47</v>
      </c>
      <c r="L328" s="1">
        <v>6</v>
      </c>
      <c r="M328" s="1">
        <v>3967.1</v>
      </c>
      <c r="N328" s="1">
        <v>0</v>
      </c>
      <c r="O328" s="1">
        <v>23802.6</v>
      </c>
      <c r="P328" s="9">
        <f t="shared" si="5"/>
        <v>23802.6</v>
      </c>
      <c r="Q328" s="1"/>
      <c r="R328" s="11"/>
      <c r="S328" s="1"/>
      <c r="T328" s="1"/>
      <c r="U328" s="1"/>
    </row>
    <row r="329" spans="1:21" x14ac:dyDescent="0.3">
      <c r="A329" s="5">
        <v>10328</v>
      </c>
      <c r="B329" s="1">
        <v>1348</v>
      </c>
      <c r="C329" s="2">
        <v>45245</v>
      </c>
      <c r="D329" s="2">
        <v>45250</v>
      </c>
      <c r="E329" s="1" t="s">
        <v>22</v>
      </c>
      <c r="F329" s="1" t="s">
        <v>54</v>
      </c>
      <c r="G329" s="1" t="s">
        <v>24</v>
      </c>
      <c r="H329" s="1" t="s">
        <v>25</v>
      </c>
      <c r="I329" s="1" t="s">
        <v>52</v>
      </c>
      <c r="J329" s="1" t="s">
        <v>53</v>
      </c>
      <c r="K329" s="1" t="s">
        <v>45</v>
      </c>
      <c r="L329" s="1">
        <v>2</v>
      </c>
      <c r="M329" s="1">
        <v>2948.33</v>
      </c>
      <c r="N329" s="1">
        <v>15</v>
      </c>
      <c r="O329" s="1">
        <v>5012.16</v>
      </c>
      <c r="P329" s="9">
        <f t="shared" si="5"/>
        <v>5896.66</v>
      </c>
      <c r="Q329" s="1"/>
      <c r="R329" s="11"/>
      <c r="S329" s="1"/>
      <c r="T329" s="1"/>
      <c r="U329" s="1"/>
    </row>
    <row r="330" spans="1:21" x14ac:dyDescent="0.3">
      <c r="A330" s="5">
        <v>10329</v>
      </c>
      <c r="B330" s="1">
        <v>1770</v>
      </c>
      <c r="C330" s="2">
        <v>44975</v>
      </c>
      <c r="D330" s="2">
        <v>44976</v>
      </c>
      <c r="E330" s="1" t="s">
        <v>40</v>
      </c>
      <c r="F330" s="1" t="s">
        <v>38</v>
      </c>
      <c r="G330" s="1" t="s">
        <v>17</v>
      </c>
      <c r="H330" s="1" t="s">
        <v>44</v>
      </c>
      <c r="I330" s="1" t="s">
        <v>26</v>
      </c>
      <c r="J330" s="1" t="s">
        <v>27</v>
      </c>
      <c r="K330" s="1" t="s">
        <v>47</v>
      </c>
      <c r="L330" s="1">
        <v>1</v>
      </c>
      <c r="M330" s="1">
        <v>3171.36</v>
      </c>
      <c r="N330" s="1">
        <v>20</v>
      </c>
      <c r="O330" s="1">
        <v>2537.09</v>
      </c>
      <c r="P330" s="9">
        <f t="shared" si="5"/>
        <v>3171.36</v>
      </c>
      <c r="Q330" s="1"/>
      <c r="R330" s="11"/>
      <c r="S330" s="1"/>
      <c r="T330" s="1"/>
      <c r="U330" s="1"/>
    </row>
    <row r="331" spans="1:21" x14ac:dyDescent="0.3">
      <c r="A331" s="5">
        <v>10330</v>
      </c>
      <c r="B331" s="1">
        <v>1659</v>
      </c>
      <c r="C331" s="2">
        <v>44958</v>
      </c>
      <c r="D331" s="2">
        <v>44966</v>
      </c>
      <c r="E331" s="1" t="s">
        <v>37</v>
      </c>
      <c r="F331" s="1" t="s">
        <v>54</v>
      </c>
      <c r="G331" s="1" t="s">
        <v>17</v>
      </c>
      <c r="H331" s="1" t="s">
        <v>44</v>
      </c>
      <c r="I331" s="1" t="s">
        <v>52</v>
      </c>
      <c r="J331" s="1" t="s">
        <v>64</v>
      </c>
      <c r="K331" s="1" t="s">
        <v>21</v>
      </c>
      <c r="L331" s="1">
        <v>7</v>
      </c>
      <c r="M331" s="1">
        <v>3978.5</v>
      </c>
      <c r="N331" s="1">
        <v>20</v>
      </c>
      <c r="O331" s="1">
        <v>22279.599999999999</v>
      </c>
      <c r="P331" s="9">
        <f t="shared" si="5"/>
        <v>27849.5</v>
      </c>
      <c r="Q331" s="1"/>
      <c r="R331" s="11"/>
      <c r="S331" s="1"/>
      <c r="T331" s="1"/>
      <c r="U331" s="1"/>
    </row>
    <row r="332" spans="1:21" x14ac:dyDescent="0.3">
      <c r="A332" s="5">
        <v>10331</v>
      </c>
      <c r="B332" s="1">
        <v>1763</v>
      </c>
      <c r="C332" s="2">
        <v>45203</v>
      </c>
      <c r="D332" s="2">
        <v>45207</v>
      </c>
      <c r="E332" s="1" t="s">
        <v>34</v>
      </c>
      <c r="F332" s="1" t="s">
        <v>38</v>
      </c>
      <c r="G332" s="1" t="s">
        <v>17</v>
      </c>
      <c r="H332" s="1" t="s">
        <v>35</v>
      </c>
      <c r="I332" s="1" t="s">
        <v>19</v>
      </c>
      <c r="J332" s="1" t="s">
        <v>55</v>
      </c>
      <c r="K332" s="1" t="s">
        <v>47</v>
      </c>
      <c r="L332" s="1">
        <v>2</v>
      </c>
      <c r="M332" s="1">
        <v>2481.1</v>
      </c>
      <c r="N332" s="1">
        <v>15</v>
      </c>
      <c r="O332" s="1">
        <v>4217.87</v>
      </c>
      <c r="P332" s="9">
        <f t="shared" si="5"/>
        <v>4962.2</v>
      </c>
      <c r="Q332" s="1"/>
      <c r="R332" s="11"/>
      <c r="S332" s="1"/>
      <c r="T332" s="1"/>
      <c r="U332" s="1"/>
    </row>
    <row r="333" spans="1:21" x14ac:dyDescent="0.3">
      <c r="A333" s="5">
        <v>10332</v>
      </c>
      <c r="B333" s="1">
        <v>1954</v>
      </c>
      <c r="C333" s="2">
        <v>44946</v>
      </c>
      <c r="D333" s="2">
        <v>44955</v>
      </c>
      <c r="E333" s="1" t="s">
        <v>15</v>
      </c>
      <c r="F333" s="1" t="s">
        <v>23</v>
      </c>
      <c r="G333" s="1" t="s">
        <v>17</v>
      </c>
      <c r="H333" s="1" t="s">
        <v>42</v>
      </c>
      <c r="I333" s="1" t="s">
        <v>57</v>
      </c>
      <c r="J333" s="1" t="s">
        <v>67</v>
      </c>
      <c r="K333" s="1" t="s">
        <v>21</v>
      </c>
      <c r="L333" s="1">
        <v>2</v>
      </c>
      <c r="M333" s="1">
        <v>1335.36</v>
      </c>
      <c r="N333" s="1">
        <v>5</v>
      </c>
      <c r="O333" s="1">
        <v>2537.1799999999998</v>
      </c>
      <c r="P333" s="9">
        <f t="shared" si="5"/>
        <v>2670.72</v>
      </c>
      <c r="Q333" s="1"/>
      <c r="R333" s="11"/>
      <c r="S333" s="1"/>
      <c r="T333" s="1"/>
      <c r="U333" s="1"/>
    </row>
    <row r="334" spans="1:21" x14ac:dyDescent="0.3">
      <c r="A334" s="5">
        <v>10333</v>
      </c>
      <c r="B334" s="1">
        <v>1931</v>
      </c>
      <c r="C334" s="2">
        <v>45080</v>
      </c>
      <c r="D334" s="2">
        <v>45086</v>
      </c>
      <c r="E334" s="1" t="s">
        <v>37</v>
      </c>
      <c r="F334" s="1" t="s">
        <v>54</v>
      </c>
      <c r="G334" s="1" t="s">
        <v>17</v>
      </c>
      <c r="H334" s="1" t="s">
        <v>25</v>
      </c>
      <c r="I334" s="1" t="s">
        <v>52</v>
      </c>
      <c r="J334" s="1" t="s">
        <v>60</v>
      </c>
      <c r="K334" s="1" t="s">
        <v>21</v>
      </c>
      <c r="L334" s="1">
        <v>5</v>
      </c>
      <c r="M334" s="1">
        <v>3374.49</v>
      </c>
      <c r="N334" s="1">
        <v>5</v>
      </c>
      <c r="O334" s="1">
        <v>16028.83</v>
      </c>
      <c r="P334" s="9">
        <f t="shared" si="5"/>
        <v>16872.449999999997</v>
      </c>
      <c r="Q334" s="1"/>
      <c r="R334" s="11"/>
      <c r="S334" s="1"/>
      <c r="T334" s="1"/>
      <c r="U334" s="1"/>
    </row>
    <row r="335" spans="1:21" x14ac:dyDescent="0.3">
      <c r="A335" s="5">
        <v>10334</v>
      </c>
      <c r="B335" s="1">
        <v>1402</v>
      </c>
      <c r="C335" s="2">
        <v>44994</v>
      </c>
      <c r="D335" s="2">
        <v>44995</v>
      </c>
      <c r="E335" s="1" t="s">
        <v>16</v>
      </c>
      <c r="F335" s="1" t="s">
        <v>29</v>
      </c>
      <c r="G335" s="1" t="s">
        <v>24</v>
      </c>
      <c r="H335" s="1" t="s">
        <v>35</v>
      </c>
      <c r="I335" s="1" t="s">
        <v>57</v>
      </c>
      <c r="J335" s="1" t="s">
        <v>59</v>
      </c>
      <c r="K335" s="1" t="s">
        <v>47</v>
      </c>
      <c r="L335" s="1">
        <v>5</v>
      </c>
      <c r="M335" s="1">
        <v>2515.77</v>
      </c>
      <c r="N335" s="1">
        <v>20</v>
      </c>
      <c r="O335" s="1">
        <v>10063.08</v>
      </c>
      <c r="P335" s="9">
        <f t="shared" si="5"/>
        <v>12578.85</v>
      </c>
      <c r="Q335" s="1"/>
      <c r="R335" s="11"/>
      <c r="S335" s="1"/>
      <c r="T335" s="1"/>
      <c r="U335" s="1"/>
    </row>
    <row r="336" spans="1:21" x14ac:dyDescent="0.3">
      <c r="A336" s="5">
        <v>10335</v>
      </c>
      <c r="B336" s="1">
        <v>1345</v>
      </c>
      <c r="C336" s="2">
        <v>45140</v>
      </c>
      <c r="D336" s="2">
        <v>45143</v>
      </c>
      <c r="E336" s="1" t="s">
        <v>40</v>
      </c>
      <c r="F336" s="1" t="s">
        <v>41</v>
      </c>
      <c r="G336" s="1" t="s">
        <v>17</v>
      </c>
      <c r="H336" s="1" t="s">
        <v>35</v>
      </c>
      <c r="I336" s="1" t="s">
        <v>19</v>
      </c>
      <c r="J336" s="1" t="s">
        <v>43</v>
      </c>
      <c r="K336" s="1" t="s">
        <v>45</v>
      </c>
      <c r="L336" s="1">
        <v>7</v>
      </c>
      <c r="M336" s="1">
        <v>2387.6</v>
      </c>
      <c r="N336" s="1">
        <v>20</v>
      </c>
      <c r="O336" s="1">
        <v>13370.56</v>
      </c>
      <c r="P336" s="9">
        <f t="shared" si="5"/>
        <v>16713.2</v>
      </c>
      <c r="Q336" s="1"/>
      <c r="R336" s="11"/>
      <c r="S336" s="1"/>
      <c r="T336" s="1"/>
      <c r="U336" s="1"/>
    </row>
    <row r="337" spans="1:21" x14ac:dyDescent="0.3">
      <c r="A337" s="5">
        <v>10336</v>
      </c>
      <c r="B337" s="1">
        <v>1962</v>
      </c>
      <c r="C337" s="2">
        <v>45069</v>
      </c>
      <c r="D337" s="2">
        <v>45072</v>
      </c>
      <c r="E337" s="1" t="s">
        <v>16</v>
      </c>
      <c r="F337" s="1" t="s">
        <v>41</v>
      </c>
      <c r="G337" s="1" t="s">
        <v>24</v>
      </c>
      <c r="H337" s="1" t="s">
        <v>42</v>
      </c>
      <c r="I337" s="1" t="s">
        <v>19</v>
      </c>
      <c r="J337" s="1" t="s">
        <v>66</v>
      </c>
      <c r="K337" s="1" t="s">
        <v>33</v>
      </c>
      <c r="L337" s="1">
        <v>1</v>
      </c>
      <c r="M337" s="1">
        <v>1126.5</v>
      </c>
      <c r="N337" s="1">
        <v>15</v>
      </c>
      <c r="O337" s="1">
        <v>957.52</v>
      </c>
      <c r="P337" s="9">
        <f t="shared" si="5"/>
        <v>1126.5</v>
      </c>
      <c r="Q337" s="1"/>
      <c r="R337" s="11"/>
      <c r="S337" s="1"/>
      <c r="T337" s="1"/>
      <c r="U337" s="1"/>
    </row>
    <row r="338" spans="1:21" x14ac:dyDescent="0.3">
      <c r="A338" s="5">
        <v>10337</v>
      </c>
      <c r="B338" s="1">
        <v>1510</v>
      </c>
      <c r="C338" s="2">
        <v>45158</v>
      </c>
      <c r="D338" s="2">
        <v>45162</v>
      </c>
      <c r="E338" s="1" t="s">
        <v>46</v>
      </c>
      <c r="F338" s="1" t="s">
        <v>38</v>
      </c>
      <c r="G338" s="1" t="s">
        <v>17</v>
      </c>
      <c r="H338" s="1" t="s">
        <v>25</v>
      </c>
      <c r="I338" s="1" t="s">
        <v>57</v>
      </c>
      <c r="J338" s="1" t="s">
        <v>62</v>
      </c>
      <c r="K338" s="1" t="s">
        <v>33</v>
      </c>
      <c r="L338" s="1">
        <v>8</v>
      </c>
      <c r="M338" s="1">
        <v>3061.89</v>
      </c>
      <c r="N338" s="1">
        <v>5</v>
      </c>
      <c r="O338" s="1">
        <v>23270.36</v>
      </c>
      <c r="P338" s="9">
        <f t="shared" si="5"/>
        <v>24495.119999999999</v>
      </c>
      <c r="Q338" s="1"/>
      <c r="R338" s="11"/>
      <c r="S338" s="1"/>
      <c r="T338" s="1"/>
      <c r="U338" s="1"/>
    </row>
    <row r="339" spans="1:21" x14ac:dyDescent="0.3">
      <c r="A339" s="5">
        <v>10338</v>
      </c>
      <c r="B339" s="1">
        <v>1146</v>
      </c>
      <c r="C339" s="2">
        <v>45139</v>
      </c>
      <c r="D339" s="2">
        <v>45145</v>
      </c>
      <c r="E339" s="1" t="s">
        <v>22</v>
      </c>
      <c r="F339" s="1" t="s">
        <v>29</v>
      </c>
      <c r="G339" s="1" t="s">
        <v>30</v>
      </c>
      <c r="H339" s="1" t="s">
        <v>42</v>
      </c>
      <c r="I339" s="1" t="s">
        <v>49</v>
      </c>
      <c r="J339" s="1" t="s">
        <v>50</v>
      </c>
      <c r="K339" s="1" t="s">
        <v>21</v>
      </c>
      <c r="L339" s="1">
        <v>3</v>
      </c>
      <c r="M339" s="1">
        <v>464.42</v>
      </c>
      <c r="N339" s="1">
        <v>20</v>
      </c>
      <c r="O339" s="1">
        <v>1114.6099999999999</v>
      </c>
      <c r="P339" s="9">
        <f t="shared" si="5"/>
        <v>1393.26</v>
      </c>
      <c r="Q339" s="1"/>
      <c r="R339" s="11"/>
      <c r="S339" s="1"/>
      <c r="T339" s="1"/>
      <c r="U339" s="1"/>
    </row>
    <row r="340" spans="1:21" x14ac:dyDescent="0.3">
      <c r="A340" s="5">
        <v>10339</v>
      </c>
      <c r="B340" s="1">
        <v>1147</v>
      </c>
      <c r="C340" s="2">
        <v>45005</v>
      </c>
      <c r="D340" s="2">
        <v>45012</v>
      </c>
      <c r="E340" s="1" t="s">
        <v>15</v>
      </c>
      <c r="F340" s="1" t="s">
        <v>54</v>
      </c>
      <c r="G340" s="1" t="s">
        <v>17</v>
      </c>
      <c r="H340" s="1" t="s">
        <v>25</v>
      </c>
      <c r="I340" s="1" t="s">
        <v>31</v>
      </c>
      <c r="J340" s="1" t="s">
        <v>32</v>
      </c>
      <c r="K340" s="1" t="s">
        <v>21</v>
      </c>
      <c r="L340" s="1">
        <v>4</v>
      </c>
      <c r="M340" s="1">
        <v>3708.51</v>
      </c>
      <c r="N340" s="1">
        <v>5</v>
      </c>
      <c r="O340" s="1">
        <v>14092.34</v>
      </c>
      <c r="P340" s="9">
        <f t="shared" si="5"/>
        <v>14834.04</v>
      </c>
      <c r="Q340" s="1"/>
      <c r="R340" s="11"/>
      <c r="S340" s="1"/>
      <c r="T340" s="1"/>
      <c r="U340" s="1"/>
    </row>
    <row r="341" spans="1:21" x14ac:dyDescent="0.3">
      <c r="A341" s="5">
        <v>10340</v>
      </c>
      <c r="B341" s="1">
        <v>1863</v>
      </c>
      <c r="C341" s="2">
        <v>45140</v>
      </c>
      <c r="D341" s="2">
        <v>45144</v>
      </c>
      <c r="E341" s="1" t="s">
        <v>37</v>
      </c>
      <c r="F341" s="1" t="s">
        <v>29</v>
      </c>
      <c r="G341" s="1" t="s">
        <v>30</v>
      </c>
      <c r="H341" s="1" t="s">
        <v>42</v>
      </c>
      <c r="I341" s="1" t="s">
        <v>49</v>
      </c>
      <c r="J341" s="1" t="s">
        <v>50</v>
      </c>
      <c r="K341" s="1" t="s">
        <v>45</v>
      </c>
      <c r="L341" s="1">
        <v>9</v>
      </c>
      <c r="M341" s="1">
        <v>1404.42</v>
      </c>
      <c r="N341" s="1">
        <v>20</v>
      </c>
      <c r="O341" s="1">
        <v>10111.82</v>
      </c>
      <c r="P341" s="9">
        <f t="shared" si="5"/>
        <v>12639.78</v>
      </c>
      <c r="Q341" s="1"/>
      <c r="R341" s="11"/>
      <c r="S341" s="1"/>
      <c r="T341" s="1"/>
      <c r="U341" s="1"/>
    </row>
    <row r="342" spans="1:21" x14ac:dyDescent="0.3">
      <c r="A342" s="5">
        <v>10341</v>
      </c>
      <c r="B342" s="1">
        <v>1710</v>
      </c>
      <c r="C342" s="2">
        <v>45042</v>
      </c>
      <c r="D342" s="2">
        <v>45048</v>
      </c>
      <c r="E342" s="1" t="s">
        <v>16</v>
      </c>
      <c r="F342" s="1" t="s">
        <v>29</v>
      </c>
      <c r="G342" s="1" t="s">
        <v>17</v>
      </c>
      <c r="H342" s="1" t="s">
        <v>35</v>
      </c>
      <c r="I342" s="1" t="s">
        <v>49</v>
      </c>
      <c r="J342" s="1" t="s">
        <v>51</v>
      </c>
      <c r="K342" s="1" t="s">
        <v>28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9">
        <f t="shared" si="5"/>
        <v>2567.7199999999998</v>
      </c>
      <c r="Q342" s="1"/>
      <c r="R342" s="11"/>
      <c r="S342" s="1"/>
      <c r="T342" s="1"/>
      <c r="U342" s="1"/>
    </row>
    <row r="343" spans="1:21" x14ac:dyDescent="0.3">
      <c r="A343" s="5">
        <v>10342</v>
      </c>
      <c r="B343" s="1">
        <v>1819</v>
      </c>
      <c r="C343" s="2">
        <v>45018</v>
      </c>
      <c r="D343" s="2">
        <v>45019</v>
      </c>
      <c r="E343" s="1" t="s">
        <v>15</v>
      </c>
      <c r="F343" s="1" t="s">
        <v>54</v>
      </c>
      <c r="G343" s="1" t="s">
        <v>17</v>
      </c>
      <c r="H343" s="1" t="s">
        <v>35</v>
      </c>
      <c r="I343" s="1" t="s">
        <v>26</v>
      </c>
      <c r="J343" s="1" t="s">
        <v>27</v>
      </c>
      <c r="K343" s="1" t="s">
        <v>47</v>
      </c>
      <c r="L343" s="1">
        <v>5</v>
      </c>
      <c r="M343" s="1">
        <v>1853.11</v>
      </c>
      <c r="N343" s="1">
        <v>10</v>
      </c>
      <c r="O343" s="1">
        <v>8338.99</v>
      </c>
      <c r="P343" s="9">
        <f t="shared" si="5"/>
        <v>9265.5499999999993</v>
      </c>
      <c r="Q343" s="1"/>
      <c r="R343" s="11"/>
      <c r="S343" s="1"/>
      <c r="T343" s="1"/>
      <c r="U343" s="1"/>
    </row>
    <row r="344" spans="1:21" x14ac:dyDescent="0.3">
      <c r="A344" s="5">
        <v>10343</v>
      </c>
      <c r="B344" s="1">
        <v>1488</v>
      </c>
      <c r="C344" s="2">
        <v>45196</v>
      </c>
      <c r="D344" s="2">
        <v>45204</v>
      </c>
      <c r="E344" s="1" t="s">
        <v>46</v>
      </c>
      <c r="F344" s="1" t="s">
        <v>23</v>
      </c>
      <c r="G344" s="1" t="s">
        <v>17</v>
      </c>
      <c r="H344" s="1" t="s">
        <v>18</v>
      </c>
      <c r="I344" s="1" t="s">
        <v>49</v>
      </c>
      <c r="J344" s="1" t="s">
        <v>51</v>
      </c>
      <c r="K344" s="1" t="s">
        <v>21</v>
      </c>
      <c r="L344" s="1">
        <v>7</v>
      </c>
      <c r="M344" s="1">
        <v>313.51</v>
      </c>
      <c r="N344" s="1">
        <v>0</v>
      </c>
      <c r="O344" s="1">
        <v>2194.5700000000002</v>
      </c>
      <c r="P344" s="9">
        <f t="shared" si="5"/>
        <v>2194.5699999999997</v>
      </c>
      <c r="Q344" s="1"/>
      <c r="R344" s="11"/>
      <c r="S344" s="1"/>
      <c r="T344" s="1"/>
      <c r="U344" s="1"/>
    </row>
    <row r="345" spans="1:21" x14ac:dyDescent="0.3">
      <c r="A345" s="5">
        <v>10344</v>
      </c>
      <c r="B345" s="1">
        <v>1928</v>
      </c>
      <c r="C345" s="2">
        <v>45094</v>
      </c>
      <c r="D345" s="2">
        <v>45101</v>
      </c>
      <c r="E345" s="1" t="s">
        <v>22</v>
      </c>
      <c r="F345" s="1" t="s">
        <v>29</v>
      </c>
      <c r="G345" s="1" t="s">
        <v>30</v>
      </c>
      <c r="H345" s="1" t="s">
        <v>44</v>
      </c>
      <c r="I345" s="1" t="s">
        <v>52</v>
      </c>
      <c r="J345" s="1" t="s">
        <v>56</v>
      </c>
      <c r="K345" s="1" t="s">
        <v>33</v>
      </c>
      <c r="L345" s="1">
        <v>4</v>
      </c>
      <c r="M345" s="1">
        <v>2785.81</v>
      </c>
      <c r="N345" s="1">
        <v>20</v>
      </c>
      <c r="O345" s="1">
        <v>8914.59</v>
      </c>
      <c r="P345" s="9">
        <f t="shared" si="5"/>
        <v>11143.24</v>
      </c>
      <c r="Q345" s="1"/>
      <c r="R345" s="11"/>
      <c r="S345" s="1"/>
      <c r="T345" s="1"/>
      <c r="U345" s="1"/>
    </row>
    <row r="346" spans="1:21" x14ac:dyDescent="0.3">
      <c r="A346" s="5">
        <v>10345</v>
      </c>
      <c r="B346" s="1">
        <v>1935</v>
      </c>
      <c r="C346" s="2">
        <v>44984</v>
      </c>
      <c r="D346" s="2">
        <v>44993</v>
      </c>
      <c r="E346" s="1" t="s">
        <v>34</v>
      </c>
      <c r="F346" s="1" t="s">
        <v>29</v>
      </c>
      <c r="G346" s="1" t="s">
        <v>30</v>
      </c>
      <c r="H346" s="1" t="s">
        <v>42</v>
      </c>
      <c r="I346" s="1" t="s">
        <v>26</v>
      </c>
      <c r="J346" s="1" t="s">
        <v>36</v>
      </c>
      <c r="K346" s="1" t="s">
        <v>45</v>
      </c>
      <c r="L346" s="1">
        <v>1</v>
      </c>
      <c r="M346" s="1">
        <v>3625.42</v>
      </c>
      <c r="N346" s="1">
        <v>10</v>
      </c>
      <c r="O346" s="1">
        <v>3262.88</v>
      </c>
      <c r="P346" s="9">
        <f t="shared" si="5"/>
        <v>3625.42</v>
      </c>
      <c r="Q346" s="1"/>
      <c r="R346" s="11"/>
      <c r="S346" s="1"/>
      <c r="T346" s="1"/>
      <c r="U346" s="1"/>
    </row>
    <row r="347" spans="1:21" x14ac:dyDescent="0.3">
      <c r="A347" s="5">
        <v>10346</v>
      </c>
      <c r="B347" s="1">
        <v>1639</v>
      </c>
      <c r="C347" s="2">
        <v>45210</v>
      </c>
      <c r="D347" s="2">
        <v>45213</v>
      </c>
      <c r="E347" s="1" t="s">
        <v>40</v>
      </c>
      <c r="F347" s="1" t="s">
        <v>23</v>
      </c>
      <c r="G347" s="1" t="s">
        <v>17</v>
      </c>
      <c r="H347" s="1" t="s">
        <v>18</v>
      </c>
      <c r="I347" s="1" t="s">
        <v>26</v>
      </c>
      <c r="J347" s="1" t="s">
        <v>36</v>
      </c>
      <c r="K347" s="1" t="s">
        <v>47</v>
      </c>
      <c r="L347" s="1">
        <v>9</v>
      </c>
      <c r="M347" s="1">
        <v>3373.46</v>
      </c>
      <c r="N347" s="1">
        <v>10</v>
      </c>
      <c r="O347" s="1">
        <v>27325.03</v>
      </c>
      <c r="P347" s="9">
        <f t="shared" si="5"/>
        <v>30361.14</v>
      </c>
      <c r="Q347" s="1"/>
      <c r="R347" s="11"/>
      <c r="S347" s="1"/>
      <c r="T347" s="1"/>
      <c r="U347" s="1"/>
    </row>
    <row r="348" spans="1:21" x14ac:dyDescent="0.3">
      <c r="A348" s="5">
        <v>10347</v>
      </c>
      <c r="B348" s="1">
        <v>1550</v>
      </c>
      <c r="C348" s="2">
        <v>44952</v>
      </c>
      <c r="D348" s="2">
        <v>44954</v>
      </c>
      <c r="E348" s="1" t="s">
        <v>15</v>
      </c>
      <c r="F348" s="1" t="s">
        <v>29</v>
      </c>
      <c r="G348" s="1" t="s">
        <v>24</v>
      </c>
      <c r="H348" s="1" t="s">
        <v>44</v>
      </c>
      <c r="I348" s="1" t="s">
        <v>19</v>
      </c>
      <c r="J348" s="1" t="s">
        <v>20</v>
      </c>
      <c r="K348" s="1" t="s">
        <v>45</v>
      </c>
      <c r="L348" s="1">
        <v>4</v>
      </c>
      <c r="M348" s="1">
        <v>640.37</v>
      </c>
      <c r="N348" s="1">
        <v>20</v>
      </c>
      <c r="O348" s="1">
        <v>2049.1799999999998</v>
      </c>
      <c r="P348" s="9">
        <f t="shared" si="5"/>
        <v>2561.48</v>
      </c>
      <c r="Q348" s="1"/>
      <c r="R348" s="11"/>
      <c r="S348" s="1"/>
      <c r="T348" s="1"/>
      <c r="U348" s="1"/>
    </row>
    <row r="349" spans="1:21" x14ac:dyDescent="0.3">
      <c r="A349" s="5">
        <v>10348</v>
      </c>
      <c r="B349" s="1">
        <v>1337</v>
      </c>
      <c r="C349" s="2">
        <v>44992</v>
      </c>
      <c r="D349" s="2">
        <v>44993</v>
      </c>
      <c r="E349" s="1" t="s">
        <v>15</v>
      </c>
      <c r="F349" s="1" t="s">
        <v>29</v>
      </c>
      <c r="G349" s="1" t="s">
        <v>17</v>
      </c>
      <c r="H349" s="1" t="s">
        <v>42</v>
      </c>
      <c r="I349" s="1" t="s">
        <v>49</v>
      </c>
      <c r="J349" s="1" t="s">
        <v>68</v>
      </c>
      <c r="K349" s="1" t="s">
        <v>47</v>
      </c>
      <c r="L349" s="1">
        <v>9</v>
      </c>
      <c r="M349" s="1">
        <v>636.14</v>
      </c>
      <c r="N349" s="1">
        <v>20</v>
      </c>
      <c r="O349" s="1">
        <v>4580.21</v>
      </c>
      <c r="P349" s="9">
        <f t="shared" si="5"/>
        <v>5725.26</v>
      </c>
      <c r="Q349" s="1"/>
      <c r="R349" s="11"/>
      <c r="S349" s="1"/>
      <c r="T349" s="1"/>
      <c r="U349" s="1"/>
    </row>
    <row r="350" spans="1:21" x14ac:dyDescent="0.3">
      <c r="A350" s="5">
        <v>10349</v>
      </c>
      <c r="B350" s="1">
        <v>1871</v>
      </c>
      <c r="C350" s="2">
        <v>45174</v>
      </c>
      <c r="D350" s="2">
        <v>45177</v>
      </c>
      <c r="E350" s="1" t="s">
        <v>34</v>
      </c>
      <c r="F350" s="1" t="s">
        <v>29</v>
      </c>
      <c r="G350" s="1" t="s">
        <v>30</v>
      </c>
      <c r="H350" s="1" t="s">
        <v>25</v>
      </c>
      <c r="I350" s="1" t="s">
        <v>19</v>
      </c>
      <c r="J350" s="1" t="s">
        <v>55</v>
      </c>
      <c r="K350" s="1" t="s">
        <v>47</v>
      </c>
      <c r="L350" s="1">
        <v>6</v>
      </c>
      <c r="M350" s="1">
        <v>3281.72</v>
      </c>
      <c r="N350" s="1">
        <v>5</v>
      </c>
      <c r="O350" s="1">
        <v>18705.8</v>
      </c>
      <c r="P350" s="9">
        <f t="shared" si="5"/>
        <v>19690.32</v>
      </c>
      <c r="Q350" s="1"/>
      <c r="R350" s="11"/>
      <c r="S350" s="1"/>
      <c r="T350" s="1"/>
      <c r="U350" s="1"/>
    </row>
    <row r="351" spans="1:21" x14ac:dyDescent="0.3">
      <c r="A351" s="5">
        <v>10350</v>
      </c>
      <c r="B351" s="1">
        <v>1640</v>
      </c>
      <c r="C351" s="2">
        <v>45180</v>
      </c>
      <c r="D351" s="2">
        <v>45185</v>
      </c>
      <c r="E351" s="1" t="s">
        <v>15</v>
      </c>
      <c r="F351" s="1" t="s">
        <v>41</v>
      </c>
      <c r="G351" s="1" t="s">
        <v>17</v>
      </c>
      <c r="H351" s="1" t="s">
        <v>44</v>
      </c>
      <c r="I351" s="1" t="s">
        <v>57</v>
      </c>
      <c r="J351" s="1" t="s">
        <v>62</v>
      </c>
      <c r="K351" s="1" t="s">
        <v>21</v>
      </c>
      <c r="L351" s="1">
        <v>1</v>
      </c>
      <c r="M351" s="1">
        <v>3708.38</v>
      </c>
      <c r="N351" s="1">
        <v>20</v>
      </c>
      <c r="O351" s="1">
        <v>2966.7</v>
      </c>
      <c r="P351" s="9">
        <f t="shared" si="5"/>
        <v>3708.38</v>
      </c>
      <c r="Q351" s="1"/>
      <c r="R351" s="11"/>
      <c r="S351" s="1"/>
      <c r="T351" s="1"/>
      <c r="U351" s="1"/>
    </row>
    <row r="352" spans="1:21" x14ac:dyDescent="0.3">
      <c r="A352" s="5">
        <v>10351</v>
      </c>
      <c r="B352" s="1">
        <v>1778</v>
      </c>
      <c r="C352" s="2">
        <v>44970</v>
      </c>
      <c r="D352" s="2">
        <v>44972</v>
      </c>
      <c r="E352" s="1" t="s">
        <v>46</v>
      </c>
      <c r="F352" s="1" t="s">
        <v>16</v>
      </c>
      <c r="G352" s="1" t="s">
        <v>30</v>
      </c>
      <c r="H352" s="1" t="s">
        <v>35</v>
      </c>
      <c r="I352" s="1" t="s">
        <v>31</v>
      </c>
      <c r="J352" s="1" t="s">
        <v>32</v>
      </c>
      <c r="K352" s="1" t="s">
        <v>45</v>
      </c>
      <c r="L352" s="1">
        <v>3</v>
      </c>
      <c r="M352" s="1">
        <v>1923.58</v>
      </c>
      <c r="N352" s="1">
        <v>15</v>
      </c>
      <c r="O352" s="1">
        <v>4905.13</v>
      </c>
      <c r="P352" s="9">
        <f t="shared" si="5"/>
        <v>5770.74</v>
      </c>
      <c r="Q352" s="1"/>
      <c r="R352" s="11"/>
      <c r="S352" s="1"/>
      <c r="T352" s="1"/>
      <c r="U352" s="1"/>
    </row>
    <row r="353" spans="1:21" x14ac:dyDescent="0.3">
      <c r="A353" s="5">
        <v>10352</v>
      </c>
      <c r="B353" s="1">
        <v>1987</v>
      </c>
      <c r="C353" s="2">
        <v>45023</v>
      </c>
      <c r="D353" s="2">
        <v>45026</v>
      </c>
      <c r="E353" s="1" t="s">
        <v>46</v>
      </c>
      <c r="F353" s="1" t="s">
        <v>23</v>
      </c>
      <c r="G353" s="1" t="s">
        <v>30</v>
      </c>
      <c r="H353" s="1" t="s">
        <v>18</v>
      </c>
      <c r="I353" s="1" t="s">
        <v>26</v>
      </c>
      <c r="J353" s="1" t="s">
        <v>36</v>
      </c>
      <c r="K353" s="1" t="s">
        <v>45</v>
      </c>
      <c r="L353" s="1">
        <v>2</v>
      </c>
      <c r="M353" s="1">
        <v>2071.04</v>
      </c>
      <c r="N353" s="1">
        <v>20</v>
      </c>
      <c r="O353" s="1">
        <v>3313.66</v>
      </c>
      <c r="P353" s="9">
        <f t="shared" si="5"/>
        <v>4142.08</v>
      </c>
      <c r="Q353" s="1"/>
      <c r="R353" s="11"/>
      <c r="S353" s="1"/>
      <c r="T353" s="1"/>
      <c r="U353" s="1"/>
    </row>
    <row r="354" spans="1:21" x14ac:dyDescent="0.3">
      <c r="A354" s="5">
        <v>10353</v>
      </c>
      <c r="B354" s="1">
        <v>1952</v>
      </c>
      <c r="C354" s="2">
        <v>44968</v>
      </c>
      <c r="D354" s="2">
        <v>44972</v>
      </c>
      <c r="E354" s="1" t="s">
        <v>34</v>
      </c>
      <c r="F354" s="1" t="s">
        <v>29</v>
      </c>
      <c r="G354" s="1" t="s">
        <v>30</v>
      </c>
      <c r="H354" s="1" t="s">
        <v>44</v>
      </c>
      <c r="I354" s="1" t="s">
        <v>57</v>
      </c>
      <c r="J354" s="1" t="s">
        <v>67</v>
      </c>
      <c r="K354" s="1" t="s">
        <v>33</v>
      </c>
      <c r="L354" s="1">
        <v>9</v>
      </c>
      <c r="M354" s="1">
        <v>1375.31</v>
      </c>
      <c r="N354" s="1">
        <v>15</v>
      </c>
      <c r="O354" s="1">
        <v>10521.12</v>
      </c>
      <c r="P354" s="9">
        <f t="shared" si="5"/>
        <v>12377.789999999999</v>
      </c>
      <c r="Q354" s="1"/>
      <c r="R354" s="11"/>
      <c r="S354" s="1"/>
      <c r="T354" s="1"/>
      <c r="U354" s="1"/>
    </row>
    <row r="355" spans="1:21" x14ac:dyDescent="0.3">
      <c r="A355" s="5">
        <v>10354</v>
      </c>
      <c r="B355" s="1">
        <v>1472</v>
      </c>
      <c r="C355" s="2">
        <v>45153</v>
      </c>
      <c r="D355" s="2">
        <v>45160</v>
      </c>
      <c r="E355" s="1" t="s">
        <v>40</v>
      </c>
      <c r="F355" s="1" t="s">
        <v>41</v>
      </c>
      <c r="G355" s="1" t="s">
        <v>17</v>
      </c>
      <c r="H355" s="1" t="s">
        <v>44</v>
      </c>
      <c r="I355" s="1" t="s">
        <v>57</v>
      </c>
      <c r="J355" s="1" t="s">
        <v>58</v>
      </c>
      <c r="K355" s="1" t="s">
        <v>33</v>
      </c>
      <c r="L355" s="1">
        <v>1</v>
      </c>
      <c r="M355" s="1">
        <v>3592.92</v>
      </c>
      <c r="N355" s="1">
        <v>20</v>
      </c>
      <c r="O355" s="1">
        <v>2874.34</v>
      </c>
      <c r="P355" s="9">
        <f t="shared" si="5"/>
        <v>3592.92</v>
      </c>
      <c r="Q355" s="1"/>
      <c r="R355" s="11"/>
      <c r="S355" s="1"/>
      <c r="T355" s="1"/>
      <c r="U355" s="1"/>
    </row>
    <row r="356" spans="1:21" x14ac:dyDescent="0.3">
      <c r="A356" s="5">
        <v>10355</v>
      </c>
      <c r="B356" s="1">
        <v>1945</v>
      </c>
      <c r="C356" s="2">
        <v>45188</v>
      </c>
      <c r="D356" s="2">
        <v>45191</v>
      </c>
      <c r="E356" s="1" t="s">
        <v>37</v>
      </c>
      <c r="F356" s="1" t="s">
        <v>23</v>
      </c>
      <c r="G356" s="1" t="s">
        <v>30</v>
      </c>
      <c r="H356" s="1" t="s">
        <v>35</v>
      </c>
      <c r="I356" s="1" t="s">
        <v>52</v>
      </c>
      <c r="J356" s="1" t="s">
        <v>53</v>
      </c>
      <c r="K356" s="1" t="s">
        <v>21</v>
      </c>
      <c r="L356" s="1">
        <v>9</v>
      </c>
      <c r="M356" s="1">
        <v>2632.88</v>
      </c>
      <c r="N356" s="1">
        <v>5</v>
      </c>
      <c r="O356" s="1">
        <v>22511.119999999999</v>
      </c>
      <c r="P356" s="9">
        <f t="shared" si="5"/>
        <v>23695.920000000002</v>
      </c>
      <c r="Q356" s="1"/>
      <c r="R356" s="11"/>
      <c r="S356" s="1"/>
      <c r="T356" s="1"/>
      <c r="U356" s="1"/>
    </row>
    <row r="357" spans="1:21" x14ac:dyDescent="0.3">
      <c r="A357" s="5">
        <v>10356</v>
      </c>
      <c r="B357" s="1">
        <v>1150</v>
      </c>
      <c r="C357" s="2">
        <v>45093</v>
      </c>
      <c r="D357" s="2">
        <v>45102</v>
      </c>
      <c r="E357" s="1" t="s">
        <v>16</v>
      </c>
      <c r="F357" s="1" t="s">
        <v>38</v>
      </c>
      <c r="G357" s="1" t="s">
        <v>30</v>
      </c>
      <c r="H357" s="1" t="s">
        <v>42</v>
      </c>
      <c r="I357" s="1" t="s">
        <v>31</v>
      </c>
      <c r="J357" s="1" t="s">
        <v>48</v>
      </c>
      <c r="K357" s="1" t="s">
        <v>21</v>
      </c>
      <c r="L357" s="1">
        <v>9</v>
      </c>
      <c r="M357" s="1">
        <v>1259.77</v>
      </c>
      <c r="N357" s="1">
        <v>15</v>
      </c>
      <c r="O357" s="1">
        <v>9637.24</v>
      </c>
      <c r="P357" s="9">
        <f t="shared" si="5"/>
        <v>11337.93</v>
      </c>
      <c r="Q357" s="1"/>
      <c r="R357" s="11"/>
      <c r="S357" s="1"/>
      <c r="T357" s="1"/>
      <c r="U357" s="1"/>
    </row>
    <row r="358" spans="1:21" x14ac:dyDescent="0.3">
      <c r="A358" s="5">
        <v>10357</v>
      </c>
      <c r="B358" s="1">
        <v>1414</v>
      </c>
      <c r="C358" s="2">
        <v>45205</v>
      </c>
      <c r="D358" s="2">
        <v>45213</v>
      </c>
      <c r="E358" s="1" t="s">
        <v>37</v>
      </c>
      <c r="F358" s="1" t="s">
        <v>38</v>
      </c>
      <c r="G358" s="1" t="s">
        <v>17</v>
      </c>
      <c r="H358" s="1" t="s">
        <v>25</v>
      </c>
      <c r="I358" s="1" t="s">
        <v>57</v>
      </c>
      <c r="J358" s="1" t="s">
        <v>58</v>
      </c>
      <c r="K358" s="1" t="s">
        <v>28</v>
      </c>
      <c r="L358" s="1">
        <v>8</v>
      </c>
      <c r="M358" s="1">
        <v>1300.31</v>
      </c>
      <c r="N358" s="1">
        <v>0</v>
      </c>
      <c r="O358" s="1">
        <v>10402.48</v>
      </c>
      <c r="P358" s="9">
        <f t="shared" si="5"/>
        <v>10402.48</v>
      </c>
      <c r="Q358" s="1"/>
      <c r="R358" s="11"/>
      <c r="S358" s="1"/>
      <c r="T358" s="1"/>
      <c r="U358" s="1"/>
    </row>
    <row r="359" spans="1:21" x14ac:dyDescent="0.3">
      <c r="A359" s="5">
        <v>10358</v>
      </c>
      <c r="B359" s="1">
        <v>1989</v>
      </c>
      <c r="C359" s="2">
        <v>45015</v>
      </c>
      <c r="D359" s="2">
        <v>45019</v>
      </c>
      <c r="E359" s="1" t="s">
        <v>15</v>
      </c>
      <c r="F359" s="1" t="s">
        <v>29</v>
      </c>
      <c r="G359" s="1" t="s">
        <v>30</v>
      </c>
      <c r="H359" s="1" t="s">
        <v>35</v>
      </c>
      <c r="I359" s="1" t="s">
        <v>57</v>
      </c>
      <c r="J359" s="1" t="s">
        <v>58</v>
      </c>
      <c r="K359" s="1" t="s">
        <v>33</v>
      </c>
      <c r="L359" s="1">
        <v>8</v>
      </c>
      <c r="M359" s="1">
        <v>3581.12</v>
      </c>
      <c r="N359" s="1">
        <v>15</v>
      </c>
      <c r="O359" s="1">
        <v>24351.62</v>
      </c>
      <c r="P359" s="9">
        <f t="shared" si="5"/>
        <v>28648.959999999999</v>
      </c>
      <c r="Q359" s="1"/>
      <c r="R359" s="11"/>
      <c r="S359" s="1"/>
      <c r="T359" s="1"/>
      <c r="U359" s="1"/>
    </row>
    <row r="360" spans="1:21" x14ac:dyDescent="0.3">
      <c r="A360" s="5">
        <v>10359</v>
      </c>
      <c r="B360" s="1">
        <v>1297</v>
      </c>
      <c r="C360" s="2">
        <v>45104</v>
      </c>
      <c r="D360" s="2">
        <v>45105</v>
      </c>
      <c r="E360" s="1" t="s">
        <v>16</v>
      </c>
      <c r="F360" s="1" t="s">
        <v>41</v>
      </c>
      <c r="G360" s="1" t="s">
        <v>17</v>
      </c>
      <c r="H360" s="1" t="s">
        <v>25</v>
      </c>
      <c r="I360" s="1" t="s">
        <v>31</v>
      </c>
      <c r="J360" s="1" t="s">
        <v>48</v>
      </c>
      <c r="K360" s="1" t="s">
        <v>47</v>
      </c>
      <c r="L360" s="1">
        <v>1</v>
      </c>
      <c r="M360" s="1">
        <v>202.49</v>
      </c>
      <c r="N360" s="1">
        <v>5</v>
      </c>
      <c r="O360" s="1">
        <v>192.37</v>
      </c>
      <c r="P360" s="9">
        <f t="shared" si="5"/>
        <v>202.49</v>
      </c>
      <c r="Q360" s="1"/>
      <c r="R360" s="11"/>
      <c r="S360" s="1"/>
      <c r="T360" s="1"/>
      <c r="U360" s="1"/>
    </row>
    <row r="361" spans="1:21" x14ac:dyDescent="0.3">
      <c r="A361" s="5">
        <v>10360</v>
      </c>
      <c r="B361" s="1">
        <v>1610</v>
      </c>
      <c r="C361" s="2">
        <v>45123</v>
      </c>
      <c r="D361" s="2">
        <v>45124</v>
      </c>
      <c r="E361" s="1" t="s">
        <v>34</v>
      </c>
      <c r="F361" s="1" t="s">
        <v>41</v>
      </c>
      <c r="G361" s="1" t="s">
        <v>30</v>
      </c>
      <c r="H361" s="1" t="s">
        <v>42</v>
      </c>
      <c r="I361" s="1" t="s">
        <v>31</v>
      </c>
      <c r="J361" s="1" t="s">
        <v>32</v>
      </c>
      <c r="K361" s="1" t="s">
        <v>45</v>
      </c>
      <c r="L361" s="1">
        <v>8</v>
      </c>
      <c r="M361" s="1">
        <v>1392.5</v>
      </c>
      <c r="N361" s="1">
        <v>15</v>
      </c>
      <c r="O361" s="1">
        <v>9469</v>
      </c>
      <c r="P361" s="9">
        <f t="shared" si="5"/>
        <v>11140</v>
      </c>
      <c r="Q361" s="1"/>
      <c r="R361" s="11"/>
      <c r="S361" s="1"/>
      <c r="T361" s="1"/>
      <c r="U361" s="1"/>
    </row>
    <row r="362" spans="1:21" x14ac:dyDescent="0.3">
      <c r="A362" s="5">
        <v>10361</v>
      </c>
      <c r="B362" s="1">
        <v>1262</v>
      </c>
      <c r="C362" s="2">
        <v>45233</v>
      </c>
      <c r="D362" s="2">
        <v>45234</v>
      </c>
      <c r="E362" s="1" t="s">
        <v>34</v>
      </c>
      <c r="F362" s="1" t="s">
        <v>23</v>
      </c>
      <c r="G362" s="1" t="s">
        <v>24</v>
      </c>
      <c r="H362" s="1" t="s">
        <v>44</v>
      </c>
      <c r="I362" s="1" t="s">
        <v>57</v>
      </c>
      <c r="J362" s="1" t="s">
        <v>59</v>
      </c>
      <c r="K362" s="1" t="s">
        <v>21</v>
      </c>
      <c r="L362" s="1">
        <v>3</v>
      </c>
      <c r="M362" s="1">
        <v>2284.27</v>
      </c>
      <c r="N362" s="1">
        <v>20</v>
      </c>
      <c r="O362" s="1">
        <v>5482.25</v>
      </c>
      <c r="P362" s="9">
        <f t="shared" si="5"/>
        <v>6852.8099999999995</v>
      </c>
      <c r="Q362" s="1"/>
      <c r="R362" s="11"/>
      <c r="S362" s="1"/>
      <c r="T362" s="1"/>
      <c r="U362" s="1"/>
    </row>
    <row r="363" spans="1:21" x14ac:dyDescent="0.3">
      <c r="A363" s="5">
        <v>10362</v>
      </c>
      <c r="B363" s="1">
        <v>1763</v>
      </c>
      <c r="C363" s="2">
        <v>45193</v>
      </c>
      <c r="D363" s="2">
        <v>45194</v>
      </c>
      <c r="E363" s="1" t="s">
        <v>40</v>
      </c>
      <c r="F363" s="1" t="s">
        <v>23</v>
      </c>
      <c r="G363" s="1" t="s">
        <v>24</v>
      </c>
      <c r="H363" s="1" t="s">
        <v>25</v>
      </c>
      <c r="I363" s="1" t="s">
        <v>31</v>
      </c>
      <c r="J363" s="1" t="s">
        <v>48</v>
      </c>
      <c r="K363" s="1" t="s">
        <v>45</v>
      </c>
      <c r="L363" s="1">
        <v>7</v>
      </c>
      <c r="M363" s="1">
        <v>720.64</v>
      </c>
      <c r="N363" s="1">
        <v>20</v>
      </c>
      <c r="O363" s="1">
        <v>4035.58</v>
      </c>
      <c r="P363" s="9">
        <f t="shared" si="5"/>
        <v>5044.4799999999996</v>
      </c>
      <c r="Q363" s="1"/>
      <c r="R363" s="11"/>
      <c r="S363" s="1"/>
      <c r="T363" s="1"/>
      <c r="U363" s="1"/>
    </row>
    <row r="364" spans="1:21" x14ac:dyDescent="0.3">
      <c r="A364" s="5">
        <v>10363</v>
      </c>
      <c r="B364" s="1">
        <v>1143</v>
      </c>
      <c r="C364" s="2">
        <v>45194</v>
      </c>
      <c r="D364" s="2">
        <v>45202</v>
      </c>
      <c r="E364" s="1" t="s">
        <v>16</v>
      </c>
      <c r="F364" s="1" t="s">
        <v>41</v>
      </c>
      <c r="G364" s="1" t="s">
        <v>30</v>
      </c>
      <c r="H364" s="1" t="s">
        <v>18</v>
      </c>
      <c r="I364" s="1" t="s">
        <v>57</v>
      </c>
      <c r="J364" s="1" t="s">
        <v>62</v>
      </c>
      <c r="K364" s="1" t="s">
        <v>45</v>
      </c>
      <c r="L364" s="1">
        <v>1</v>
      </c>
      <c r="M364" s="1">
        <v>504.58</v>
      </c>
      <c r="N364" s="1">
        <v>5</v>
      </c>
      <c r="O364" s="1">
        <v>479.35</v>
      </c>
      <c r="P364" s="9">
        <f t="shared" si="5"/>
        <v>504.58</v>
      </c>
      <c r="Q364" s="1"/>
      <c r="R364" s="11"/>
      <c r="S364" s="1"/>
      <c r="T364" s="1"/>
      <c r="U364" s="1"/>
    </row>
    <row r="365" spans="1:21" x14ac:dyDescent="0.3">
      <c r="A365" s="5">
        <v>10364</v>
      </c>
      <c r="B365" s="1">
        <v>1345</v>
      </c>
      <c r="C365" s="2">
        <v>45000</v>
      </c>
      <c r="D365" s="2">
        <v>45003</v>
      </c>
      <c r="E365" s="1" t="s">
        <v>46</v>
      </c>
      <c r="F365" s="1" t="s">
        <v>23</v>
      </c>
      <c r="G365" s="1" t="s">
        <v>24</v>
      </c>
      <c r="H365" s="1" t="s">
        <v>18</v>
      </c>
      <c r="I365" s="1" t="s">
        <v>57</v>
      </c>
      <c r="J365" s="1" t="s">
        <v>67</v>
      </c>
      <c r="K365" s="1" t="s">
        <v>28</v>
      </c>
      <c r="L365" s="1">
        <v>1</v>
      </c>
      <c r="M365" s="1">
        <v>3288.81</v>
      </c>
      <c r="N365" s="1">
        <v>10</v>
      </c>
      <c r="O365" s="1">
        <v>2959.93</v>
      </c>
      <c r="P365" s="9">
        <f t="shared" si="5"/>
        <v>3288.81</v>
      </c>
      <c r="Q365" s="1"/>
      <c r="R365" s="11"/>
      <c r="S365" s="1"/>
      <c r="T365" s="1"/>
      <c r="U365" s="1"/>
    </row>
    <row r="366" spans="1:21" x14ac:dyDescent="0.3">
      <c r="A366" s="5">
        <v>10365</v>
      </c>
      <c r="B366" s="1">
        <v>1623</v>
      </c>
      <c r="C366" s="2">
        <v>44934</v>
      </c>
      <c r="D366" s="2">
        <v>44940</v>
      </c>
      <c r="E366" s="1" t="s">
        <v>16</v>
      </c>
      <c r="F366" s="1" t="s">
        <v>41</v>
      </c>
      <c r="G366" s="1" t="s">
        <v>17</v>
      </c>
      <c r="H366" s="1" t="s">
        <v>35</v>
      </c>
      <c r="I366" s="1" t="s">
        <v>52</v>
      </c>
      <c r="J366" s="1" t="s">
        <v>53</v>
      </c>
      <c r="K366" s="1" t="s">
        <v>33</v>
      </c>
      <c r="L366" s="1">
        <v>5</v>
      </c>
      <c r="M366" s="1">
        <v>3593.46</v>
      </c>
      <c r="N366" s="1">
        <v>20</v>
      </c>
      <c r="O366" s="1">
        <v>14373.84</v>
      </c>
      <c r="P366" s="9">
        <f t="shared" si="5"/>
        <v>17967.3</v>
      </c>
      <c r="Q366" s="1"/>
      <c r="R366" s="11"/>
      <c r="S366" s="1"/>
      <c r="T366" s="1"/>
      <c r="U366" s="1"/>
    </row>
    <row r="367" spans="1:21" x14ac:dyDescent="0.3">
      <c r="A367" s="5">
        <v>10366</v>
      </c>
      <c r="B367" s="1">
        <v>1571</v>
      </c>
      <c r="C367" s="2">
        <v>45223</v>
      </c>
      <c r="D367" s="2">
        <v>45226</v>
      </c>
      <c r="E367" s="1" t="s">
        <v>15</v>
      </c>
      <c r="F367" s="1" t="s">
        <v>16</v>
      </c>
      <c r="G367" s="1" t="s">
        <v>24</v>
      </c>
      <c r="H367" s="1" t="s">
        <v>42</v>
      </c>
      <c r="I367" s="1" t="s">
        <v>49</v>
      </c>
      <c r="J367" s="1" t="s">
        <v>63</v>
      </c>
      <c r="K367" s="1" t="s">
        <v>21</v>
      </c>
      <c r="L367" s="1">
        <v>5</v>
      </c>
      <c r="M367" s="1">
        <v>3320.88</v>
      </c>
      <c r="N367" s="1">
        <v>0</v>
      </c>
      <c r="O367" s="1">
        <v>16604.400000000001</v>
      </c>
      <c r="P367" s="9">
        <f t="shared" si="5"/>
        <v>16604.400000000001</v>
      </c>
      <c r="Q367" s="1"/>
      <c r="R367" s="11"/>
      <c r="S367" s="1"/>
      <c r="T367" s="1"/>
      <c r="U367" s="1"/>
    </row>
    <row r="368" spans="1:21" x14ac:dyDescent="0.3">
      <c r="A368" s="5">
        <v>10367</v>
      </c>
      <c r="B368" s="1">
        <v>1880</v>
      </c>
      <c r="C368" s="2">
        <v>45090</v>
      </c>
      <c r="D368" s="2">
        <v>45095</v>
      </c>
      <c r="E368" s="1" t="s">
        <v>46</v>
      </c>
      <c r="F368" s="1" t="s">
        <v>41</v>
      </c>
      <c r="G368" s="1" t="s">
        <v>30</v>
      </c>
      <c r="H368" s="1" t="s">
        <v>35</v>
      </c>
      <c r="I368" s="1" t="s">
        <v>57</v>
      </c>
      <c r="J368" s="1" t="s">
        <v>62</v>
      </c>
      <c r="K368" s="1" t="s">
        <v>45</v>
      </c>
      <c r="L368" s="1">
        <v>8</v>
      </c>
      <c r="M368" s="1">
        <v>3610.33</v>
      </c>
      <c r="N368" s="1">
        <v>5</v>
      </c>
      <c r="O368" s="1">
        <v>27438.51</v>
      </c>
      <c r="P368" s="9">
        <f t="shared" si="5"/>
        <v>28882.639999999999</v>
      </c>
      <c r="Q368" s="1"/>
      <c r="R368" s="11"/>
      <c r="S368" s="1"/>
      <c r="T368" s="1"/>
      <c r="U368" s="1"/>
    </row>
    <row r="369" spans="1:21" x14ac:dyDescent="0.3">
      <c r="A369" s="5">
        <v>10368</v>
      </c>
      <c r="B369" s="1">
        <v>1001</v>
      </c>
      <c r="C369" s="2">
        <v>45011</v>
      </c>
      <c r="D369" s="2">
        <v>45018</v>
      </c>
      <c r="E369" s="1" t="s">
        <v>22</v>
      </c>
      <c r="F369" s="1" t="s">
        <v>38</v>
      </c>
      <c r="G369" s="1" t="s">
        <v>30</v>
      </c>
      <c r="H369" s="1" t="s">
        <v>35</v>
      </c>
      <c r="I369" s="1" t="s">
        <v>19</v>
      </c>
      <c r="J369" s="1" t="s">
        <v>20</v>
      </c>
      <c r="K369" s="1" t="s">
        <v>21</v>
      </c>
      <c r="L369" s="1">
        <v>7</v>
      </c>
      <c r="M369" s="1">
        <v>2279.48</v>
      </c>
      <c r="N369" s="1">
        <v>15</v>
      </c>
      <c r="O369" s="1">
        <v>13562.91</v>
      </c>
      <c r="P369" s="9">
        <f t="shared" si="5"/>
        <v>15956.36</v>
      </c>
      <c r="Q369" s="1"/>
      <c r="R369" s="11"/>
      <c r="S369" s="1"/>
      <c r="T369" s="1"/>
      <c r="U369" s="1"/>
    </row>
    <row r="370" spans="1:21" x14ac:dyDescent="0.3">
      <c r="A370" s="5">
        <v>10369</v>
      </c>
      <c r="B370" s="1">
        <v>1896</v>
      </c>
      <c r="C370" s="2">
        <v>44998</v>
      </c>
      <c r="D370" s="2">
        <v>45000</v>
      </c>
      <c r="E370" s="1" t="s">
        <v>22</v>
      </c>
      <c r="F370" s="1" t="s">
        <v>23</v>
      </c>
      <c r="G370" s="1" t="s">
        <v>17</v>
      </c>
      <c r="H370" s="1" t="s">
        <v>35</v>
      </c>
      <c r="I370" s="1" t="s">
        <v>26</v>
      </c>
      <c r="J370" s="1" t="s">
        <v>36</v>
      </c>
      <c r="K370" s="1" t="s">
        <v>47</v>
      </c>
      <c r="L370" s="1">
        <v>8</v>
      </c>
      <c r="M370" s="1">
        <v>3277.19</v>
      </c>
      <c r="N370" s="1">
        <v>15</v>
      </c>
      <c r="O370" s="1">
        <v>22284.89</v>
      </c>
      <c r="P370" s="9">
        <f t="shared" si="5"/>
        <v>26217.52</v>
      </c>
      <c r="Q370" s="1"/>
      <c r="R370" s="11"/>
      <c r="S370" s="1"/>
      <c r="T370" s="1"/>
      <c r="U370" s="1"/>
    </row>
    <row r="371" spans="1:21" x14ac:dyDescent="0.3">
      <c r="A371" s="5">
        <v>10370</v>
      </c>
      <c r="B371" s="1">
        <v>1303</v>
      </c>
      <c r="C371" s="2">
        <v>44981</v>
      </c>
      <c r="D371" s="2">
        <v>44987</v>
      </c>
      <c r="E371" s="1" t="s">
        <v>22</v>
      </c>
      <c r="F371" s="1" t="s">
        <v>41</v>
      </c>
      <c r="G371" s="1" t="s">
        <v>30</v>
      </c>
      <c r="H371" s="1" t="s">
        <v>18</v>
      </c>
      <c r="I371" s="1" t="s">
        <v>49</v>
      </c>
      <c r="J371" s="1" t="s">
        <v>63</v>
      </c>
      <c r="K371" s="1" t="s">
        <v>28</v>
      </c>
      <c r="L371" s="1">
        <v>6</v>
      </c>
      <c r="M371" s="1">
        <v>1628.56</v>
      </c>
      <c r="N371" s="1">
        <v>0</v>
      </c>
      <c r="O371" s="1">
        <v>9771.36</v>
      </c>
      <c r="P371" s="9">
        <f t="shared" si="5"/>
        <v>9771.36</v>
      </c>
      <c r="Q371" s="1"/>
      <c r="R371" s="11"/>
      <c r="S371" s="1"/>
      <c r="T371" s="1"/>
      <c r="U371" s="1"/>
    </row>
    <row r="372" spans="1:21" x14ac:dyDescent="0.3">
      <c r="A372" s="5">
        <v>10371</v>
      </c>
      <c r="B372" s="1">
        <v>1253</v>
      </c>
      <c r="C372" s="2">
        <v>44973</v>
      </c>
      <c r="D372" s="2">
        <v>44979</v>
      </c>
      <c r="E372" s="1" t="s">
        <v>34</v>
      </c>
      <c r="F372" s="1" t="s">
        <v>41</v>
      </c>
      <c r="G372" s="1" t="s">
        <v>17</v>
      </c>
      <c r="H372" s="1" t="s">
        <v>18</v>
      </c>
      <c r="I372" s="1" t="s">
        <v>49</v>
      </c>
      <c r="J372" s="1" t="s">
        <v>68</v>
      </c>
      <c r="K372" s="1" t="s">
        <v>47</v>
      </c>
      <c r="L372" s="1">
        <v>6</v>
      </c>
      <c r="M372" s="1">
        <v>2715.13</v>
      </c>
      <c r="N372" s="1">
        <v>20</v>
      </c>
      <c r="O372" s="1">
        <v>13032.62</v>
      </c>
      <c r="P372" s="9">
        <f t="shared" si="5"/>
        <v>16290.78</v>
      </c>
      <c r="Q372" s="1"/>
      <c r="R372" s="11"/>
      <c r="S372" s="1"/>
      <c r="T372" s="1"/>
      <c r="U372" s="1"/>
    </row>
    <row r="373" spans="1:21" x14ac:dyDescent="0.3">
      <c r="A373" s="5">
        <v>10372</v>
      </c>
      <c r="B373" s="1">
        <v>1651</v>
      </c>
      <c r="C373" s="2">
        <v>45164</v>
      </c>
      <c r="D373" s="2">
        <v>45167</v>
      </c>
      <c r="E373" s="1" t="s">
        <v>16</v>
      </c>
      <c r="F373" s="1" t="s">
        <v>23</v>
      </c>
      <c r="G373" s="1" t="s">
        <v>24</v>
      </c>
      <c r="H373" s="1" t="s">
        <v>35</v>
      </c>
      <c r="I373" s="1" t="s">
        <v>49</v>
      </c>
      <c r="J373" s="1" t="s">
        <v>63</v>
      </c>
      <c r="K373" s="1" t="s">
        <v>21</v>
      </c>
      <c r="L373" s="1">
        <v>2</v>
      </c>
      <c r="M373" s="1">
        <v>3957.02</v>
      </c>
      <c r="N373" s="1">
        <v>5</v>
      </c>
      <c r="O373" s="1">
        <v>7518.34</v>
      </c>
      <c r="P373" s="9">
        <f t="shared" si="5"/>
        <v>7914.04</v>
      </c>
      <c r="Q373" s="1"/>
      <c r="R373" s="11"/>
      <c r="S373" s="1"/>
      <c r="T373" s="1"/>
      <c r="U373" s="1"/>
    </row>
    <row r="374" spans="1:21" x14ac:dyDescent="0.3">
      <c r="A374" s="5">
        <v>10373</v>
      </c>
      <c r="B374" s="1">
        <v>1452</v>
      </c>
      <c r="C374" s="2">
        <v>45030</v>
      </c>
      <c r="D374" s="2">
        <v>45036</v>
      </c>
      <c r="E374" s="1" t="s">
        <v>22</v>
      </c>
      <c r="F374" s="1" t="s">
        <v>16</v>
      </c>
      <c r="G374" s="1" t="s">
        <v>24</v>
      </c>
      <c r="H374" s="1" t="s">
        <v>18</v>
      </c>
      <c r="I374" s="1" t="s">
        <v>52</v>
      </c>
      <c r="J374" s="1" t="s">
        <v>53</v>
      </c>
      <c r="K374" s="1" t="s">
        <v>21</v>
      </c>
      <c r="L374" s="1">
        <v>6</v>
      </c>
      <c r="M374" s="1">
        <v>1019.05</v>
      </c>
      <c r="N374" s="1">
        <v>0</v>
      </c>
      <c r="O374" s="1">
        <v>6114.3</v>
      </c>
      <c r="P374" s="9">
        <f t="shared" si="5"/>
        <v>6114.2999999999993</v>
      </c>
      <c r="Q374" s="1"/>
      <c r="R374" s="11"/>
      <c r="S374" s="1"/>
      <c r="T374" s="1"/>
      <c r="U374" s="1"/>
    </row>
    <row r="375" spans="1:21" x14ac:dyDescent="0.3">
      <c r="A375" s="5">
        <v>10374</v>
      </c>
      <c r="B375" s="1">
        <v>1036</v>
      </c>
      <c r="C375" s="2">
        <v>45136</v>
      </c>
      <c r="D375" s="2">
        <v>45141</v>
      </c>
      <c r="E375" s="1" t="s">
        <v>37</v>
      </c>
      <c r="F375" s="1" t="s">
        <v>16</v>
      </c>
      <c r="G375" s="1" t="s">
        <v>17</v>
      </c>
      <c r="H375" s="1" t="s">
        <v>42</v>
      </c>
      <c r="I375" s="1" t="s">
        <v>57</v>
      </c>
      <c r="J375" s="1" t="s">
        <v>58</v>
      </c>
      <c r="K375" s="1" t="s">
        <v>33</v>
      </c>
      <c r="L375" s="1">
        <v>5</v>
      </c>
      <c r="M375" s="1">
        <v>1651.11</v>
      </c>
      <c r="N375" s="1">
        <v>20</v>
      </c>
      <c r="O375" s="1">
        <v>6604.44</v>
      </c>
      <c r="P375" s="9">
        <f t="shared" si="5"/>
        <v>8255.5499999999993</v>
      </c>
      <c r="Q375" s="1"/>
      <c r="R375" s="11"/>
      <c r="S375" s="1"/>
      <c r="T375" s="1"/>
      <c r="U375" s="1"/>
    </row>
    <row r="376" spans="1:21" x14ac:dyDescent="0.3">
      <c r="A376" s="5">
        <v>10375</v>
      </c>
      <c r="B376" s="1">
        <v>1159</v>
      </c>
      <c r="C376" s="2">
        <v>44968</v>
      </c>
      <c r="D376" s="2">
        <v>44970</v>
      </c>
      <c r="E376" s="1" t="s">
        <v>40</v>
      </c>
      <c r="F376" s="1" t="s">
        <v>23</v>
      </c>
      <c r="G376" s="1" t="s">
        <v>17</v>
      </c>
      <c r="H376" s="1" t="s">
        <v>35</v>
      </c>
      <c r="I376" s="1" t="s">
        <v>52</v>
      </c>
      <c r="J376" s="1" t="s">
        <v>60</v>
      </c>
      <c r="K376" s="1" t="s">
        <v>45</v>
      </c>
      <c r="L376" s="1">
        <v>3</v>
      </c>
      <c r="M376" s="1">
        <v>1998.18</v>
      </c>
      <c r="N376" s="1">
        <v>5</v>
      </c>
      <c r="O376" s="1">
        <v>5694.81</v>
      </c>
      <c r="P376" s="9">
        <f t="shared" si="5"/>
        <v>5994.54</v>
      </c>
      <c r="Q376" s="1"/>
      <c r="R376" s="11"/>
      <c r="S376" s="1"/>
      <c r="T376" s="1"/>
      <c r="U376" s="1"/>
    </row>
    <row r="377" spans="1:21" x14ac:dyDescent="0.3">
      <c r="A377" s="5">
        <v>10376</v>
      </c>
      <c r="B377" s="1">
        <v>1008</v>
      </c>
      <c r="C377" s="2">
        <v>45242</v>
      </c>
      <c r="D377" s="2">
        <v>45251</v>
      </c>
      <c r="E377" s="1" t="s">
        <v>37</v>
      </c>
      <c r="F377" s="1" t="s">
        <v>54</v>
      </c>
      <c r="G377" s="1" t="s">
        <v>30</v>
      </c>
      <c r="H377" s="1" t="s">
        <v>18</v>
      </c>
      <c r="I377" s="1" t="s">
        <v>57</v>
      </c>
      <c r="J377" s="1" t="s">
        <v>59</v>
      </c>
      <c r="K377" s="1" t="s">
        <v>45</v>
      </c>
      <c r="L377" s="1">
        <v>6</v>
      </c>
      <c r="M377" s="1">
        <v>681.36</v>
      </c>
      <c r="N377" s="1">
        <v>15</v>
      </c>
      <c r="O377" s="1">
        <v>3474.94</v>
      </c>
      <c r="P377" s="9">
        <f t="shared" si="5"/>
        <v>4088.16</v>
      </c>
      <c r="Q377" s="1"/>
      <c r="R377" s="11"/>
      <c r="S377" s="1"/>
      <c r="T377" s="1"/>
      <c r="U377" s="1"/>
    </row>
    <row r="378" spans="1:21" x14ac:dyDescent="0.3">
      <c r="A378" s="5">
        <v>10377</v>
      </c>
      <c r="B378" s="1">
        <v>1232</v>
      </c>
      <c r="C378" s="2">
        <v>45194</v>
      </c>
      <c r="D378" s="2">
        <v>45202</v>
      </c>
      <c r="E378" s="1" t="s">
        <v>22</v>
      </c>
      <c r="F378" s="1" t="s">
        <v>23</v>
      </c>
      <c r="G378" s="1" t="s">
        <v>24</v>
      </c>
      <c r="H378" s="1" t="s">
        <v>25</v>
      </c>
      <c r="I378" s="1" t="s">
        <v>52</v>
      </c>
      <c r="J378" s="1" t="s">
        <v>56</v>
      </c>
      <c r="K378" s="1" t="s">
        <v>47</v>
      </c>
      <c r="L378" s="1">
        <v>8</v>
      </c>
      <c r="M378" s="1">
        <v>462</v>
      </c>
      <c r="N378" s="1">
        <v>5</v>
      </c>
      <c r="O378" s="1">
        <v>3511.2</v>
      </c>
      <c r="P378" s="9">
        <f t="shared" si="5"/>
        <v>3696</v>
      </c>
      <c r="Q378" s="1"/>
      <c r="R378" s="11"/>
      <c r="S378" s="1"/>
      <c r="T378" s="1"/>
      <c r="U378" s="1"/>
    </row>
    <row r="379" spans="1:21" x14ac:dyDescent="0.3">
      <c r="A379" s="5">
        <v>10378</v>
      </c>
      <c r="B379" s="1">
        <v>1098</v>
      </c>
      <c r="C379" s="2">
        <v>45189</v>
      </c>
      <c r="D379" s="2">
        <v>45192</v>
      </c>
      <c r="E379" s="1" t="s">
        <v>40</v>
      </c>
      <c r="F379" s="1" t="s">
        <v>23</v>
      </c>
      <c r="G379" s="1" t="s">
        <v>17</v>
      </c>
      <c r="H379" s="1" t="s">
        <v>35</v>
      </c>
      <c r="I379" s="1" t="s">
        <v>52</v>
      </c>
      <c r="J379" s="1" t="s">
        <v>64</v>
      </c>
      <c r="K379" s="1" t="s">
        <v>28</v>
      </c>
      <c r="L379" s="1">
        <v>9</v>
      </c>
      <c r="M379" s="1">
        <v>3344.43</v>
      </c>
      <c r="N379" s="1">
        <v>10</v>
      </c>
      <c r="O379" s="1">
        <v>27089.88</v>
      </c>
      <c r="P379" s="9">
        <f t="shared" si="5"/>
        <v>30099.87</v>
      </c>
      <c r="Q379" s="1"/>
      <c r="R379" s="11"/>
      <c r="S379" s="1"/>
      <c r="T379" s="1"/>
      <c r="U379" s="1"/>
    </row>
    <row r="380" spans="1:21" x14ac:dyDescent="0.3">
      <c r="A380" s="5">
        <v>10379</v>
      </c>
      <c r="B380" s="1">
        <v>1658</v>
      </c>
      <c r="C380" s="2">
        <v>45262</v>
      </c>
      <c r="D380" s="2">
        <v>45270</v>
      </c>
      <c r="E380" s="1" t="s">
        <v>15</v>
      </c>
      <c r="F380" s="1" t="s">
        <v>16</v>
      </c>
      <c r="G380" s="1" t="s">
        <v>24</v>
      </c>
      <c r="H380" s="1" t="s">
        <v>35</v>
      </c>
      <c r="I380" s="1" t="s">
        <v>26</v>
      </c>
      <c r="J380" s="1" t="s">
        <v>69</v>
      </c>
      <c r="K380" s="1" t="s">
        <v>45</v>
      </c>
      <c r="L380" s="1">
        <v>1</v>
      </c>
      <c r="M380" s="1">
        <v>3910.66</v>
      </c>
      <c r="N380" s="1">
        <v>5</v>
      </c>
      <c r="O380" s="1">
        <v>3715.13</v>
      </c>
      <c r="P380" s="9">
        <f t="shared" si="5"/>
        <v>3910.66</v>
      </c>
      <c r="Q380" s="1"/>
      <c r="R380" s="11"/>
      <c r="S380" s="1"/>
      <c r="T380" s="1"/>
      <c r="U380" s="1"/>
    </row>
    <row r="381" spans="1:21" x14ac:dyDescent="0.3">
      <c r="A381" s="5">
        <v>10380</v>
      </c>
      <c r="B381" s="1">
        <v>1815</v>
      </c>
      <c r="C381" s="2">
        <v>45291</v>
      </c>
      <c r="D381" s="2">
        <v>45300</v>
      </c>
      <c r="E381" s="1" t="s">
        <v>37</v>
      </c>
      <c r="F381" s="1" t="s">
        <v>16</v>
      </c>
      <c r="G381" s="1" t="s">
        <v>17</v>
      </c>
      <c r="H381" s="1" t="s">
        <v>42</v>
      </c>
      <c r="I381" s="1" t="s">
        <v>19</v>
      </c>
      <c r="J381" s="1" t="s">
        <v>55</v>
      </c>
      <c r="K381" s="1" t="s">
        <v>33</v>
      </c>
      <c r="L381" s="1">
        <v>3</v>
      </c>
      <c r="M381" s="1">
        <v>1708.19</v>
      </c>
      <c r="N381" s="1">
        <v>10</v>
      </c>
      <c r="O381" s="1">
        <v>4612.1099999999997</v>
      </c>
      <c r="P381" s="9">
        <f t="shared" si="5"/>
        <v>5124.57</v>
      </c>
      <c r="Q381" s="1"/>
      <c r="R381" s="11"/>
      <c r="S381" s="1"/>
      <c r="T381" s="1"/>
      <c r="U381" s="1"/>
    </row>
    <row r="382" spans="1:21" x14ac:dyDescent="0.3">
      <c r="A382" s="5">
        <v>10381</v>
      </c>
      <c r="B382" s="1">
        <v>1207</v>
      </c>
      <c r="C382" s="2">
        <v>45185</v>
      </c>
      <c r="D382" s="2">
        <v>45188</v>
      </c>
      <c r="E382" s="1" t="s">
        <v>16</v>
      </c>
      <c r="F382" s="1" t="s">
        <v>23</v>
      </c>
      <c r="G382" s="1" t="s">
        <v>24</v>
      </c>
      <c r="H382" s="1" t="s">
        <v>44</v>
      </c>
      <c r="I382" s="1" t="s">
        <v>52</v>
      </c>
      <c r="J382" s="1" t="s">
        <v>56</v>
      </c>
      <c r="K382" s="1" t="s">
        <v>47</v>
      </c>
      <c r="L382" s="1">
        <v>3</v>
      </c>
      <c r="M382" s="1">
        <v>487.45</v>
      </c>
      <c r="N382" s="1">
        <v>5</v>
      </c>
      <c r="O382" s="1">
        <v>1389.23</v>
      </c>
      <c r="P382" s="9">
        <f t="shared" si="5"/>
        <v>1462.35</v>
      </c>
      <c r="Q382" s="1"/>
      <c r="R382" s="11"/>
      <c r="S382" s="1"/>
      <c r="T382" s="1"/>
      <c r="U382" s="1"/>
    </row>
    <row r="383" spans="1:21" x14ac:dyDescent="0.3">
      <c r="A383" s="5">
        <v>10382</v>
      </c>
      <c r="B383" s="1">
        <v>1130</v>
      </c>
      <c r="C383" s="2">
        <v>45209</v>
      </c>
      <c r="D383" s="2">
        <v>45212</v>
      </c>
      <c r="E383" s="1" t="s">
        <v>16</v>
      </c>
      <c r="F383" s="1" t="s">
        <v>23</v>
      </c>
      <c r="G383" s="1" t="s">
        <v>30</v>
      </c>
      <c r="H383" s="1" t="s">
        <v>44</v>
      </c>
      <c r="I383" s="1" t="s">
        <v>26</v>
      </c>
      <c r="J383" s="1" t="s">
        <v>36</v>
      </c>
      <c r="K383" s="1" t="s">
        <v>47</v>
      </c>
      <c r="L383" s="1">
        <v>8</v>
      </c>
      <c r="M383" s="1">
        <v>403.38</v>
      </c>
      <c r="N383" s="1">
        <v>10</v>
      </c>
      <c r="O383" s="1">
        <v>2904.34</v>
      </c>
      <c r="P383" s="9">
        <f t="shared" si="5"/>
        <v>3227.04</v>
      </c>
      <c r="Q383" s="1"/>
      <c r="R383" s="11"/>
      <c r="S383" s="1"/>
      <c r="T383" s="1"/>
      <c r="U383" s="1"/>
    </row>
    <row r="384" spans="1:21" x14ac:dyDescent="0.3">
      <c r="A384" s="5">
        <v>10383</v>
      </c>
      <c r="B384" s="1">
        <v>1403</v>
      </c>
      <c r="C384" s="2">
        <v>45040</v>
      </c>
      <c r="D384" s="2">
        <v>45042</v>
      </c>
      <c r="E384" s="1" t="s">
        <v>37</v>
      </c>
      <c r="F384" s="1" t="s">
        <v>23</v>
      </c>
      <c r="G384" s="1" t="s">
        <v>24</v>
      </c>
      <c r="H384" s="1" t="s">
        <v>42</v>
      </c>
      <c r="I384" s="1" t="s">
        <v>31</v>
      </c>
      <c r="J384" s="1" t="s">
        <v>48</v>
      </c>
      <c r="K384" s="1" t="s">
        <v>33</v>
      </c>
      <c r="L384" s="1">
        <v>1</v>
      </c>
      <c r="M384" s="1">
        <v>3581.58</v>
      </c>
      <c r="N384" s="1">
        <v>15</v>
      </c>
      <c r="O384" s="1">
        <v>3044.34</v>
      </c>
      <c r="P384" s="9">
        <f t="shared" si="5"/>
        <v>3581.58</v>
      </c>
      <c r="Q384" s="1"/>
      <c r="R384" s="11"/>
      <c r="S384" s="1"/>
      <c r="T384" s="1"/>
      <c r="U384" s="1"/>
    </row>
    <row r="385" spans="1:21" x14ac:dyDescent="0.3">
      <c r="A385" s="5">
        <v>10384</v>
      </c>
      <c r="B385" s="1">
        <v>1151</v>
      </c>
      <c r="C385" s="2">
        <v>45289</v>
      </c>
      <c r="D385" s="2">
        <v>45297</v>
      </c>
      <c r="E385" s="1" t="s">
        <v>22</v>
      </c>
      <c r="F385" s="1" t="s">
        <v>16</v>
      </c>
      <c r="G385" s="1" t="s">
        <v>24</v>
      </c>
      <c r="H385" s="1" t="s">
        <v>42</v>
      </c>
      <c r="I385" s="1" t="s">
        <v>19</v>
      </c>
      <c r="J385" s="1" t="s">
        <v>55</v>
      </c>
      <c r="K385" s="1" t="s">
        <v>28</v>
      </c>
      <c r="L385" s="1">
        <v>5</v>
      </c>
      <c r="M385" s="1">
        <v>1935.68</v>
      </c>
      <c r="N385" s="1">
        <v>20</v>
      </c>
      <c r="O385" s="1">
        <v>7742.72</v>
      </c>
      <c r="P385" s="9">
        <f t="shared" si="5"/>
        <v>9678.4</v>
      </c>
      <c r="Q385" s="1"/>
      <c r="R385" s="11"/>
      <c r="S385" s="1"/>
      <c r="T385" s="1"/>
      <c r="U385" s="1"/>
    </row>
    <row r="386" spans="1:21" x14ac:dyDescent="0.3">
      <c r="A386" s="5">
        <v>10385</v>
      </c>
      <c r="B386" s="1">
        <v>1053</v>
      </c>
      <c r="C386" s="2">
        <v>44966</v>
      </c>
      <c r="D386" s="2">
        <v>44967</v>
      </c>
      <c r="E386" s="1" t="s">
        <v>16</v>
      </c>
      <c r="F386" s="1" t="s">
        <v>23</v>
      </c>
      <c r="G386" s="1" t="s">
        <v>24</v>
      </c>
      <c r="H386" s="1" t="s">
        <v>42</v>
      </c>
      <c r="I386" s="1" t="s">
        <v>52</v>
      </c>
      <c r="J386" s="1" t="s">
        <v>64</v>
      </c>
      <c r="K386" s="1" t="s">
        <v>33</v>
      </c>
      <c r="L386" s="1">
        <v>3</v>
      </c>
      <c r="M386" s="1">
        <v>1382.11</v>
      </c>
      <c r="N386" s="1">
        <v>10</v>
      </c>
      <c r="O386" s="1">
        <v>3731.7</v>
      </c>
      <c r="P386" s="9">
        <f t="shared" si="5"/>
        <v>4146.33</v>
      </c>
      <c r="Q386" s="1"/>
      <c r="R386" s="11"/>
      <c r="S386" s="1"/>
      <c r="T386" s="1"/>
      <c r="U386" s="1"/>
    </row>
    <row r="387" spans="1:21" x14ac:dyDescent="0.3">
      <c r="A387" s="5">
        <v>10386</v>
      </c>
      <c r="B387" s="1">
        <v>1119</v>
      </c>
      <c r="C387" s="2">
        <v>45146</v>
      </c>
      <c r="D387" s="2">
        <v>45154</v>
      </c>
      <c r="E387" s="1" t="s">
        <v>15</v>
      </c>
      <c r="F387" s="1" t="s">
        <v>23</v>
      </c>
      <c r="G387" s="1" t="s">
        <v>24</v>
      </c>
      <c r="H387" s="1" t="s">
        <v>44</v>
      </c>
      <c r="I387" s="1" t="s">
        <v>49</v>
      </c>
      <c r="J387" s="1" t="s">
        <v>68</v>
      </c>
      <c r="K387" s="1" t="s">
        <v>28</v>
      </c>
      <c r="L387" s="1">
        <v>2</v>
      </c>
      <c r="M387" s="1">
        <v>1984.38</v>
      </c>
      <c r="N387" s="1">
        <v>10</v>
      </c>
      <c r="O387" s="1">
        <v>3571.88</v>
      </c>
      <c r="P387" s="9">
        <f t="shared" ref="P387:P450" si="6">L387*M387</f>
        <v>3968.76</v>
      </c>
      <c r="Q387" s="1"/>
      <c r="R387" s="11"/>
      <c r="S387" s="1"/>
      <c r="T387" s="1"/>
      <c r="U387" s="1"/>
    </row>
    <row r="388" spans="1:21" x14ac:dyDescent="0.3">
      <c r="A388" s="5">
        <v>10387</v>
      </c>
      <c r="B388" s="1">
        <v>1672</v>
      </c>
      <c r="C388" s="2">
        <v>45055</v>
      </c>
      <c r="D388" s="2">
        <v>45062</v>
      </c>
      <c r="E388" s="1" t="s">
        <v>46</v>
      </c>
      <c r="F388" s="1" t="s">
        <v>29</v>
      </c>
      <c r="G388" s="1" t="s">
        <v>24</v>
      </c>
      <c r="H388" s="1" t="s">
        <v>42</v>
      </c>
      <c r="I388" s="1" t="s">
        <v>31</v>
      </c>
      <c r="J388" s="1" t="s">
        <v>32</v>
      </c>
      <c r="K388" s="1" t="s">
        <v>33</v>
      </c>
      <c r="L388" s="1">
        <v>8</v>
      </c>
      <c r="M388" s="1">
        <v>1375.47</v>
      </c>
      <c r="N388" s="1">
        <v>15</v>
      </c>
      <c r="O388" s="1">
        <v>9353.2000000000007</v>
      </c>
      <c r="P388" s="9">
        <f t="shared" si="6"/>
        <v>11003.76</v>
      </c>
      <c r="Q388" s="1"/>
      <c r="R388" s="11"/>
      <c r="S388" s="1"/>
      <c r="T388" s="1"/>
      <c r="U388" s="1"/>
    </row>
    <row r="389" spans="1:21" x14ac:dyDescent="0.3">
      <c r="A389" s="5">
        <v>10388</v>
      </c>
      <c r="B389" s="1">
        <v>1919</v>
      </c>
      <c r="C389" s="2">
        <v>44934</v>
      </c>
      <c r="D389" s="2">
        <v>44941</v>
      </c>
      <c r="E389" s="1" t="s">
        <v>22</v>
      </c>
      <c r="F389" s="1" t="s">
        <v>54</v>
      </c>
      <c r="G389" s="1" t="s">
        <v>30</v>
      </c>
      <c r="H389" s="1" t="s">
        <v>18</v>
      </c>
      <c r="I389" s="1" t="s">
        <v>31</v>
      </c>
      <c r="J389" s="1" t="s">
        <v>39</v>
      </c>
      <c r="K389" s="1" t="s">
        <v>33</v>
      </c>
      <c r="L389" s="1">
        <v>3</v>
      </c>
      <c r="M389" s="1">
        <v>2032.79</v>
      </c>
      <c r="N389" s="1">
        <v>10</v>
      </c>
      <c r="O389" s="1">
        <v>5488.53</v>
      </c>
      <c r="P389" s="9">
        <f t="shared" si="6"/>
        <v>6098.37</v>
      </c>
      <c r="Q389" s="1"/>
      <c r="R389" s="11"/>
      <c r="S389" s="1"/>
      <c r="T389" s="1"/>
      <c r="U389" s="1"/>
    </row>
    <row r="390" spans="1:21" x14ac:dyDescent="0.3">
      <c r="A390" s="5">
        <v>10389</v>
      </c>
      <c r="B390" s="1">
        <v>1627</v>
      </c>
      <c r="C390" s="2">
        <v>45027</v>
      </c>
      <c r="D390" s="2">
        <v>45030</v>
      </c>
      <c r="E390" s="1" t="s">
        <v>15</v>
      </c>
      <c r="F390" s="1" t="s">
        <v>38</v>
      </c>
      <c r="G390" s="1" t="s">
        <v>17</v>
      </c>
      <c r="H390" s="1" t="s">
        <v>35</v>
      </c>
      <c r="I390" s="1" t="s">
        <v>26</v>
      </c>
      <c r="J390" s="1" t="s">
        <v>69</v>
      </c>
      <c r="K390" s="1" t="s">
        <v>21</v>
      </c>
      <c r="L390" s="1">
        <v>7</v>
      </c>
      <c r="M390" s="1">
        <v>3459.29</v>
      </c>
      <c r="N390" s="1">
        <v>0</v>
      </c>
      <c r="O390" s="1">
        <v>24215.03</v>
      </c>
      <c r="P390" s="9">
        <f t="shared" si="6"/>
        <v>24215.03</v>
      </c>
      <c r="Q390" s="1"/>
      <c r="R390" s="11"/>
      <c r="S390" s="1"/>
      <c r="T390" s="1"/>
      <c r="U390" s="1"/>
    </row>
    <row r="391" spans="1:21" x14ac:dyDescent="0.3">
      <c r="A391" s="5">
        <v>10390</v>
      </c>
      <c r="B391" s="1">
        <v>1586</v>
      </c>
      <c r="C391" s="2">
        <v>45102</v>
      </c>
      <c r="D391" s="2">
        <v>45103</v>
      </c>
      <c r="E391" s="1" t="s">
        <v>40</v>
      </c>
      <c r="F391" s="1" t="s">
        <v>54</v>
      </c>
      <c r="G391" s="1" t="s">
        <v>24</v>
      </c>
      <c r="H391" s="1" t="s">
        <v>35</v>
      </c>
      <c r="I391" s="1" t="s">
        <v>31</v>
      </c>
      <c r="J391" s="1" t="s">
        <v>48</v>
      </c>
      <c r="K391" s="1" t="s">
        <v>47</v>
      </c>
      <c r="L391" s="1">
        <v>1</v>
      </c>
      <c r="M391" s="1">
        <v>2430.36</v>
      </c>
      <c r="N391" s="1">
        <v>15</v>
      </c>
      <c r="O391" s="1">
        <v>2065.81</v>
      </c>
      <c r="P391" s="9">
        <f t="shared" si="6"/>
        <v>2430.36</v>
      </c>
      <c r="Q391" s="1"/>
      <c r="R391" s="11"/>
      <c r="S391" s="1"/>
      <c r="T391" s="1"/>
      <c r="U391" s="1"/>
    </row>
    <row r="392" spans="1:21" x14ac:dyDescent="0.3">
      <c r="A392" s="5">
        <v>10391</v>
      </c>
      <c r="B392" s="1">
        <v>1624</v>
      </c>
      <c r="C392" s="2">
        <v>45033</v>
      </c>
      <c r="D392" s="2">
        <v>45037</v>
      </c>
      <c r="E392" s="1" t="s">
        <v>15</v>
      </c>
      <c r="F392" s="1" t="s">
        <v>29</v>
      </c>
      <c r="G392" s="1" t="s">
        <v>30</v>
      </c>
      <c r="H392" s="1" t="s">
        <v>25</v>
      </c>
      <c r="I392" s="1" t="s">
        <v>19</v>
      </c>
      <c r="J392" s="1" t="s">
        <v>66</v>
      </c>
      <c r="K392" s="1" t="s">
        <v>33</v>
      </c>
      <c r="L392" s="1">
        <v>6</v>
      </c>
      <c r="M392" s="1">
        <v>2824.42</v>
      </c>
      <c r="N392" s="1">
        <v>0</v>
      </c>
      <c r="O392" s="1">
        <v>16946.52</v>
      </c>
      <c r="P392" s="9">
        <f t="shared" si="6"/>
        <v>16946.52</v>
      </c>
      <c r="Q392" s="1"/>
      <c r="R392" s="11"/>
      <c r="S392" s="1"/>
      <c r="T392" s="1"/>
      <c r="U392" s="1"/>
    </row>
    <row r="393" spans="1:21" x14ac:dyDescent="0.3">
      <c r="A393" s="5">
        <v>10392</v>
      </c>
      <c r="B393" s="1">
        <v>1967</v>
      </c>
      <c r="C393" s="2">
        <v>45027</v>
      </c>
      <c r="D393" s="2">
        <v>45036</v>
      </c>
      <c r="E393" s="1" t="s">
        <v>22</v>
      </c>
      <c r="F393" s="1" t="s">
        <v>38</v>
      </c>
      <c r="G393" s="1" t="s">
        <v>24</v>
      </c>
      <c r="H393" s="1" t="s">
        <v>25</v>
      </c>
      <c r="I393" s="1" t="s">
        <v>52</v>
      </c>
      <c r="J393" s="1" t="s">
        <v>60</v>
      </c>
      <c r="K393" s="1" t="s">
        <v>33</v>
      </c>
      <c r="L393" s="1">
        <v>3</v>
      </c>
      <c r="M393" s="1">
        <v>1553.98</v>
      </c>
      <c r="N393" s="1">
        <v>15</v>
      </c>
      <c r="O393" s="1">
        <v>3962.65</v>
      </c>
      <c r="P393" s="9">
        <f t="shared" si="6"/>
        <v>4661.9400000000005</v>
      </c>
      <c r="Q393" s="1"/>
      <c r="R393" s="11"/>
      <c r="S393" s="1"/>
      <c r="T393" s="1"/>
      <c r="U393" s="1"/>
    </row>
    <row r="394" spans="1:21" x14ac:dyDescent="0.3">
      <c r="A394" s="5">
        <v>10393</v>
      </c>
      <c r="B394" s="1">
        <v>1419</v>
      </c>
      <c r="C394" s="2">
        <v>45186</v>
      </c>
      <c r="D394" s="2">
        <v>45191</v>
      </c>
      <c r="E394" s="1" t="s">
        <v>40</v>
      </c>
      <c r="F394" s="1" t="s">
        <v>23</v>
      </c>
      <c r="G394" s="1" t="s">
        <v>24</v>
      </c>
      <c r="H394" s="1" t="s">
        <v>35</v>
      </c>
      <c r="I394" s="1" t="s">
        <v>52</v>
      </c>
      <c r="J394" s="1" t="s">
        <v>60</v>
      </c>
      <c r="K394" s="1" t="s">
        <v>45</v>
      </c>
      <c r="L394" s="1">
        <v>8</v>
      </c>
      <c r="M394" s="1">
        <v>2993.25</v>
      </c>
      <c r="N394" s="1">
        <v>10</v>
      </c>
      <c r="O394" s="1">
        <v>21551.4</v>
      </c>
      <c r="P394" s="9">
        <f t="shared" si="6"/>
        <v>23946</v>
      </c>
      <c r="Q394" s="1"/>
      <c r="R394" s="11"/>
      <c r="S394" s="1"/>
      <c r="T394" s="1"/>
      <c r="U394" s="1"/>
    </row>
    <row r="395" spans="1:21" x14ac:dyDescent="0.3">
      <c r="A395" s="5">
        <v>10394</v>
      </c>
      <c r="B395" s="1">
        <v>1421</v>
      </c>
      <c r="C395" s="2">
        <v>45172</v>
      </c>
      <c r="D395" s="2">
        <v>45173</v>
      </c>
      <c r="E395" s="1" t="s">
        <v>22</v>
      </c>
      <c r="F395" s="1" t="s">
        <v>29</v>
      </c>
      <c r="G395" s="1" t="s">
        <v>17</v>
      </c>
      <c r="H395" s="1" t="s">
        <v>18</v>
      </c>
      <c r="I395" s="1" t="s">
        <v>49</v>
      </c>
      <c r="J395" s="1" t="s">
        <v>50</v>
      </c>
      <c r="K395" s="1" t="s">
        <v>47</v>
      </c>
      <c r="L395" s="1">
        <v>6</v>
      </c>
      <c r="M395" s="1">
        <v>2716.48</v>
      </c>
      <c r="N395" s="1">
        <v>0</v>
      </c>
      <c r="O395" s="1">
        <v>16298.88</v>
      </c>
      <c r="P395" s="9">
        <f t="shared" si="6"/>
        <v>16298.880000000001</v>
      </c>
      <c r="Q395" s="1"/>
      <c r="R395" s="11"/>
      <c r="S395" s="1"/>
      <c r="T395" s="1"/>
      <c r="U395" s="1"/>
    </row>
    <row r="396" spans="1:21" x14ac:dyDescent="0.3">
      <c r="A396" s="5">
        <v>10395</v>
      </c>
      <c r="B396" s="1">
        <v>1103</v>
      </c>
      <c r="C396" s="2">
        <v>45201</v>
      </c>
      <c r="D396" s="2">
        <v>45206</v>
      </c>
      <c r="E396" s="1" t="s">
        <v>16</v>
      </c>
      <c r="F396" s="1" t="s">
        <v>23</v>
      </c>
      <c r="G396" s="1" t="s">
        <v>24</v>
      </c>
      <c r="H396" s="1" t="s">
        <v>44</v>
      </c>
      <c r="I396" s="1" t="s">
        <v>26</v>
      </c>
      <c r="J396" s="1" t="s">
        <v>36</v>
      </c>
      <c r="K396" s="1" t="s">
        <v>45</v>
      </c>
      <c r="L396" s="1">
        <v>2</v>
      </c>
      <c r="M396" s="1">
        <v>610.30999999999995</v>
      </c>
      <c r="N396" s="1">
        <v>10</v>
      </c>
      <c r="O396" s="1">
        <v>1098.56</v>
      </c>
      <c r="P396" s="9">
        <f t="shared" si="6"/>
        <v>1220.6199999999999</v>
      </c>
      <c r="Q396" s="1"/>
      <c r="R396" s="11"/>
      <c r="S396" s="1"/>
      <c r="T396" s="1"/>
      <c r="U396" s="1"/>
    </row>
    <row r="397" spans="1:21" x14ac:dyDescent="0.3">
      <c r="A397" s="5">
        <v>10396</v>
      </c>
      <c r="B397" s="1">
        <v>1851</v>
      </c>
      <c r="C397" s="2">
        <v>44958</v>
      </c>
      <c r="D397" s="2">
        <v>44966</v>
      </c>
      <c r="E397" s="1" t="s">
        <v>46</v>
      </c>
      <c r="F397" s="1" t="s">
        <v>16</v>
      </c>
      <c r="G397" s="1" t="s">
        <v>30</v>
      </c>
      <c r="H397" s="1" t="s">
        <v>44</v>
      </c>
      <c r="I397" s="1" t="s">
        <v>49</v>
      </c>
      <c r="J397" s="1" t="s">
        <v>51</v>
      </c>
      <c r="K397" s="1" t="s">
        <v>47</v>
      </c>
      <c r="L397" s="1">
        <v>6</v>
      </c>
      <c r="M397" s="1">
        <v>2354.67</v>
      </c>
      <c r="N397" s="1">
        <v>15</v>
      </c>
      <c r="O397" s="1">
        <v>12008.82</v>
      </c>
      <c r="P397" s="9">
        <f t="shared" si="6"/>
        <v>14128.02</v>
      </c>
      <c r="Q397" s="1"/>
      <c r="R397" s="11"/>
      <c r="S397" s="1"/>
      <c r="T397" s="1"/>
      <c r="U397" s="1"/>
    </row>
    <row r="398" spans="1:21" x14ac:dyDescent="0.3">
      <c r="A398" s="5">
        <v>10397</v>
      </c>
      <c r="B398" s="1">
        <v>1253</v>
      </c>
      <c r="C398" s="2">
        <v>45063</v>
      </c>
      <c r="D398" s="2">
        <v>45071</v>
      </c>
      <c r="E398" s="1" t="s">
        <v>22</v>
      </c>
      <c r="F398" s="1" t="s">
        <v>41</v>
      </c>
      <c r="G398" s="1" t="s">
        <v>30</v>
      </c>
      <c r="H398" s="1" t="s">
        <v>18</v>
      </c>
      <c r="I398" s="1" t="s">
        <v>31</v>
      </c>
      <c r="J398" s="1" t="s">
        <v>39</v>
      </c>
      <c r="K398" s="1" t="s">
        <v>45</v>
      </c>
      <c r="L398" s="1">
        <v>7</v>
      </c>
      <c r="M398" s="1">
        <v>1138.46</v>
      </c>
      <c r="N398" s="1">
        <v>10</v>
      </c>
      <c r="O398" s="1">
        <v>7172.3</v>
      </c>
      <c r="P398" s="9">
        <f t="shared" si="6"/>
        <v>7969.22</v>
      </c>
      <c r="Q398" s="1"/>
      <c r="R398" s="11"/>
      <c r="S398" s="1"/>
      <c r="T398" s="1"/>
      <c r="U398" s="1"/>
    </row>
    <row r="399" spans="1:21" x14ac:dyDescent="0.3">
      <c r="A399" s="5">
        <v>10398</v>
      </c>
      <c r="B399" s="1">
        <v>1226</v>
      </c>
      <c r="C399" s="2">
        <v>44938</v>
      </c>
      <c r="D399" s="2">
        <v>44943</v>
      </c>
      <c r="E399" s="1" t="s">
        <v>22</v>
      </c>
      <c r="F399" s="1" t="s">
        <v>29</v>
      </c>
      <c r="G399" s="1" t="s">
        <v>17</v>
      </c>
      <c r="H399" s="1" t="s">
        <v>44</v>
      </c>
      <c r="I399" s="1" t="s">
        <v>49</v>
      </c>
      <c r="J399" s="1" t="s">
        <v>63</v>
      </c>
      <c r="K399" s="1" t="s">
        <v>33</v>
      </c>
      <c r="L399" s="1">
        <v>5</v>
      </c>
      <c r="M399" s="1">
        <v>3245.77</v>
      </c>
      <c r="N399" s="1">
        <v>0</v>
      </c>
      <c r="O399" s="1">
        <v>16228.85</v>
      </c>
      <c r="P399" s="9">
        <f t="shared" si="6"/>
        <v>16228.85</v>
      </c>
      <c r="Q399" s="1"/>
      <c r="R399" s="11"/>
      <c r="S399" s="1"/>
      <c r="T399" s="1"/>
      <c r="U399" s="1"/>
    </row>
    <row r="400" spans="1:21" x14ac:dyDescent="0.3">
      <c r="A400" s="5">
        <v>10399</v>
      </c>
      <c r="B400" s="1">
        <v>1111</v>
      </c>
      <c r="C400" s="2">
        <v>45228</v>
      </c>
      <c r="D400" s="2">
        <v>45237</v>
      </c>
      <c r="E400" s="1" t="s">
        <v>16</v>
      </c>
      <c r="F400" s="1" t="s">
        <v>16</v>
      </c>
      <c r="G400" s="1" t="s">
        <v>24</v>
      </c>
      <c r="H400" s="1" t="s">
        <v>42</v>
      </c>
      <c r="I400" s="1" t="s">
        <v>19</v>
      </c>
      <c r="J400" s="1" t="s">
        <v>43</v>
      </c>
      <c r="K400" s="1" t="s">
        <v>33</v>
      </c>
      <c r="L400" s="1">
        <v>3</v>
      </c>
      <c r="M400" s="1">
        <v>1789.86</v>
      </c>
      <c r="N400" s="1">
        <v>0</v>
      </c>
      <c r="O400" s="1">
        <v>5369.58</v>
      </c>
      <c r="P400" s="9">
        <f t="shared" si="6"/>
        <v>5369.58</v>
      </c>
      <c r="Q400" s="1"/>
      <c r="R400" s="11"/>
      <c r="S400" s="1"/>
      <c r="T400" s="1"/>
      <c r="U400" s="1"/>
    </row>
    <row r="401" spans="1:21" x14ac:dyDescent="0.3">
      <c r="A401" s="5">
        <v>10400</v>
      </c>
      <c r="B401" s="1">
        <v>1509</v>
      </c>
      <c r="C401" s="2">
        <v>44942</v>
      </c>
      <c r="D401" s="2">
        <v>44943</v>
      </c>
      <c r="E401" s="1" t="s">
        <v>34</v>
      </c>
      <c r="F401" s="1" t="s">
        <v>29</v>
      </c>
      <c r="G401" s="1" t="s">
        <v>30</v>
      </c>
      <c r="H401" s="1" t="s">
        <v>35</v>
      </c>
      <c r="I401" s="1" t="s">
        <v>52</v>
      </c>
      <c r="J401" s="1" t="s">
        <v>60</v>
      </c>
      <c r="K401" s="1" t="s">
        <v>21</v>
      </c>
      <c r="L401" s="1">
        <v>4</v>
      </c>
      <c r="M401" s="1">
        <v>3979.53</v>
      </c>
      <c r="N401" s="1">
        <v>10</v>
      </c>
      <c r="O401" s="1">
        <v>14326.31</v>
      </c>
      <c r="P401" s="9">
        <f t="shared" si="6"/>
        <v>15918.12</v>
      </c>
      <c r="Q401" s="1"/>
      <c r="R401" s="11"/>
      <c r="S401" s="1"/>
      <c r="T401" s="1"/>
      <c r="U401" s="1"/>
    </row>
    <row r="402" spans="1:21" x14ac:dyDescent="0.3">
      <c r="A402" s="5">
        <v>10401</v>
      </c>
      <c r="B402" s="1">
        <v>1472</v>
      </c>
      <c r="C402" s="2">
        <v>45055</v>
      </c>
      <c r="D402" s="2">
        <v>45059</v>
      </c>
      <c r="E402" s="1" t="s">
        <v>16</v>
      </c>
      <c r="F402" s="1" t="s">
        <v>29</v>
      </c>
      <c r="G402" s="1" t="s">
        <v>24</v>
      </c>
      <c r="H402" s="1" t="s">
        <v>35</v>
      </c>
      <c r="I402" s="1" t="s">
        <v>31</v>
      </c>
      <c r="J402" s="1" t="s">
        <v>48</v>
      </c>
      <c r="K402" s="1" t="s">
        <v>45</v>
      </c>
      <c r="L402" s="1">
        <v>4</v>
      </c>
      <c r="M402" s="1">
        <v>506.13</v>
      </c>
      <c r="N402" s="1">
        <v>5</v>
      </c>
      <c r="O402" s="1">
        <v>1923.29</v>
      </c>
      <c r="P402" s="9">
        <f t="shared" si="6"/>
        <v>2024.52</v>
      </c>
      <c r="Q402" s="1"/>
      <c r="R402" s="11"/>
      <c r="S402" s="1"/>
      <c r="T402" s="1"/>
      <c r="U402" s="1"/>
    </row>
    <row r="403" spans="1:21" x14ac:dyDescent="0.3">
      <c r="A403" s="5">
        <v>10402</v>
      </c>
      <c r="B403" s="1">
        <v>1098</v>
      </c>
      <c r="C403" s="2">
        <v>44989</v>
      </c>
      <c r="D403" s="2">
        <v>44992</v>
      </c>
      <c r="E403" s="1" t="s">
        <v>40</v>
      </c>
      <c r="F403" s="1" t="s">
        <v>16</v>
      </c>
      <c r="G403" s="1" t="s">
        <v>24</v>
      </c>
      <c r="H403" s="1" t="s">
        <v>18</v>
      </c>
      <c r="I403" s="1" t="s">
        <v>49</v>
      </c>
      <c r="J403" s="1" t="s">
        <v>51</v>
      </c>
      <c r="K403" s="1" t="s">
        <v>28</v>
      </c>
      <c r="L403" s="1">
        <v>6</v>
      </c>
      <c r="M403" s="1">
        <v>3154.34</v>
      </c>
      <c r="N403" s="1">
        <v>15</v>
      </c>
      <c r="O403" s="1">
        <v>16087.13</v>
      </c>
      <c r="P403" s="9">
        <f t="shared" si="6"/>
        <v>18926.04</v>
      </c>
      <c r="Q403" s="1"/>
      <c r="R403" s="11"/>
      <c r="S403" s="1"/>
      <c r="T403" s="1"/>
      <c r="U403" s="1"/>
    </row>
    <row r="404" spans="1:21" x14ac:dyDescent="0.3">
      <c r="A404" s="5">
        <v>10403</v>
      </c>
      <c r="B404" s="1">
        <v>1152</v>
      </c>
      <c r="C404" s="2">
        <v>45035</v>
      </c>
      <c r="D404" s="2">
        <v>45037</v>
      </c>
      <c r="E404" s="1" t="s">
        <v>16</v>
      </c>
      <c r="F404" s="1" t="s">
        <v>38</v>
      </c>
      <c r="G404" s="1" t="s">
        <v>24</v>
      </c>
      <c r="H404" s="1" t="s">
        <v>44</v>
      </c>
      <c r="I404" s="1" t="s">
        <v>26</v>
      </c>
      <c r="J404" s="1" t="s">
        <v>36</v>
      </c>
      <c r="K404" s="1" t="s">
        <v>21</v>
      </c>
      <c r="L404" s="1">
        <v>1</v>
      </c>
      <c r="M404" s="1">
        <v>2743.75</v>
      </c>
      <c r="N404" s="1">
        <v>15</v>
      </c>
      <c r="O404" s="1">
        <v>2332.19</v>
      </c>
      <c r="P404" s="9">
        <f t="shared" si="6"/>
        <v>2743.75</v>
      </c>
      <c r="Q404" s="1"/>
      <c r="R404" s="11"/>
      <c r="S404" s="1"/>
      <c r="T404" s="1"/>
      <c r="U404" s="1"/>
    </row>
    <row r="405" spans="1:21" x14ac:dyDescent="0.3">
      <c r="A405" s="5">
        <v>10404</v>
      </c>
      <c r="B405" s="1">
        <v>1860</v>
      </c>
      <c r="C405" s="2">
        <v>44947</v>
      </c>
      <c r="D405" s="2">
        <v>44955</v>
      </c>
      <c r="E405" s="1" t="s">
        <v>16</v>
      </c>
      <c r="F405" s="1" t="s">
        <v>54</v>
      </c>
      <c r="G405" s="1" t="s">
        <v>17</v>
      </c>
      <c r="H405" s="1" t="s">
        <v>25</v>
      </c>
      <c r="I405" s="1" t="s">
        <v>19</v>
      </c>
      <c r="J405" s="1" t="s">
        <v>66</v>
      </c>
      <c r="K405" s="1" t="s">
        <v>45</v>
      </c>
      <c r="L405" s="1">
        <v>4</v>
      </c>
      <c r="M405" s="1">
        <v>3104.87</v>
      </c>
      <c r="N405" s="1">
        <v>10</v>
      </c>
      <c r="O405" s="1">
        <v>11177.53</v>
      </c>
      <c r="P405" s="9">
        <f t="shared" si="6"/>
        <v>12419.48</v>
      </c>
      <c r="Q405" s="1"/>
      <c r="R405" s="11"/>
      <c r="S405" s="1"/>
      <c r="T405" s="1"/>
      <c r="U405" s="1"/>
    </row>
    <row r="406" spans="1:21" x14ac:dyDescent="0.3">
      <c r="A406" s="5">
        <v>10405</v>
      </c>
      <c r="B406" s="1">
        <v>1913</v>
      </c>
      <c r="C406" s="2">
        <v>45084</v>
      </c>
      <c r="D406" s="2">
        <v>45091</v>
      </c>
      <c r="E406" s="1" t="s">
        <v>46</v>
      </c>
      <c r="F406" s="1" t="s">
        <v>23</v>
      </c>
      <c r="G406" s="1" t="s">
        <v>24</v>
      </c>
      <c r="H406" s="1" t="s">
        <v>25</v>
      </c>
      <c r="I406" s="1" t="s">
        <v>19</v>
      </c>
      <c r="J406" s="1" t="s">
        <v>66</v>
      </c>
      <c r="K406" s="1" t="s">
        <v>45</v>
      </c>
      <c r="L406" s="1">
        <v>4</v>
      </c>
      <c r="M406" s="1">
        <v>1333.99</v>
      </c>
      <c r="N406" s="1">
        <v>5</v>
      </c>
      <c r="O406" s="1">
        <v>5069.16</v>
      </c>
      <c r="P406" s="9">
        <f t="shared" si="6"/>
        <v>5335.96</v>
      </c>
      <c r="Q406" s="1"/>
      <c r="R406" s="11"/>
      <c r="S406" s="1"/>
      <c r="T406" s="1"/>
      <c r="U406" s="1"/>
    </row>
    <row r="407" spans="1:21" x14ac:dyDescent="0.3">
      <c r="A407" s="5">
        <v>10406</v>
      </c>
      <c r="B407" s="1">
        <v>1895</v>
      </c>
      <c r="C407" s="2">
        <v>45195</v>
      </c>
      <c r="D407" s="2">
        <v>45204</v>
      </c>
      <c r="E407" s="1" t="s">
        <v>16</v>
      </c>
      <c r="F407" s="1" t="s">
        <v>29</v>
      </c>
      <c r="G407" s="1" t="s">
        <v>30</v>
      </c>
      <c r="H407" s="1" t="s">
        <v>44</v>
      </c>
      <c r="I407" s="1" t="s">
        <v>49</v>
      </c>
      <c r="J407" s="1" t="s">
        <v>51</v>
      </c>
      <c r="K407" s="1" t="s">
        <v>21</v>
      </c>
      <c r="L407" s="1">
        <v>1</v>
      </c>
      <c r="M407" s="1">
        <v>2044.41</v>
      </c>
      <c r="N407" s="1">
        <v>0</v>
      </c>
      <c r="O407" s="1">
        <v>2044.41</v>
      </c>
      <c r="P407" s="9">
        <f t="shared" si="6"/>
        <v>2044.41</v>
      </c>
      <c r="Q407" s="1"/>
      <c r="R407" s="11"/>
      <c r="S407" s="1"/>
      <c r="T407" s="1"/>
      <c r="U407" s="1"/>
    </row>
    <row r="408" spans="1:21" x14ac:dyDescent="0.3">
      <c r="A408" s="5">
        <v>10407</v>
      </c>
      <c r="B408" s="1">
        <v>1877</v>
      </c>
      <c r="C408" s="2">
        <v>45088</v>
      </c>
      <c r="D408" s="2">
        <v>45090</v>
      </c>
      <c r="E408" s="1" t="s">
        <v>22</v>
      </c>
      <c r="F408" s="1" t="s">
        <v>23</v>
      </c>
      <c r="G408" s="1" t="s">
        <v>24</v>
      </c>
      <c r="H408" s="1" t="s">
        <v>25</v>
      </c>
      <c r="I408" s="1" t="s">
        <v>52</v>
      </c>
      <c r="J408" s="1" t="s">
        <v>53</v>
      </c>
      <c r="K408" s="1" t="s">
        <v>33</v>
      </c>
      <c r="L408" s="1">
        <v>9</v>
      </c>
      <c r="M408" s="1">
        <v>3216.56</v>
      </c>
      <c r="N408" s="1">
        <v>20</v>
      </c>
      <c r="O408" s="1">
        <v>23159.23</v>
      </c>
      <c r="P408" s="9">
        <f t="shared" si="6"/>
        <v>28949.040000000001</v>
      </c>
      <c r="Q408" s="1"/>
      <c r="R408" s="11"/>
      <c r="S408" s="1"/>
      <c r="T408" s="1"/>
      <c r="U408" s="1"/>
    </row>
    <row r="409" spans="1:21" x14ac:dyDescent="0.3">
      <c r="A409" s="5">
        <v>10408</v>
      </c>
      <c r="B409" s="1">
        <v>1337</v>
      </c>
      <c r="C409" s="2">
        <v>45186</v>
      </c>
      <c r="D409" s="2">
        <v>45190</v>
      </c>
      <c r="E409" s="1" t="s">
        <v>46</v>
      </c>
      <c r="F409" s="1" t="s">
        <v>41</v>
      </c>
      <c r="G409" s="1" t="s">
        <v>30</v>
      </c>
      <c r="H409" s="1" t="s">
        <v>18</v>
      </c>
      <c r="I409" s="1" t="s">
        <v>49</v>
      </c>
      <c r="J409" s="1" t="s">
        <v>63</v>
      </c>
      <c r="K409" s="1" t="s">
        <v>45</v>
      </c>
      <c r="L409" s="1">
        <v>4</v>
      </c>
      <c r="M409" s="1">
        <v>1045.28</v>
      </c>
      <c r="N409" s="1">
        <v>20</v>
      </c>
      <c r="O409" s="1">
        <v>3344.9</v>
      </c>
      <c r="P409" s="9">
        <f t="shared" si="6"/>
        <v>4181.12</v>
      </c>
      <c r="Q409" s="1"/>
      <c r="R409" s="11"/>
      <c r="S409" s="1"/>
      <c r="T409" s="1"/>
      <c r="U409" s="1"/>
    </row>
    <row r="410" spans="1:21" x14ac:dyDescent="0.3">
      <c r="A410" s="5">
        <v>10409</v>
      </c>
      <c r="B410" s="1">
        <v>1705</v>
      </c>
      <c r="C410" s="2">
        <v>45028</v>
      </c>
      <c r="D410" s="2">
        <v>45034</v>
      </c>
      <c r="E410" s="1" t="s">
        <v>37</v>
      </c>
      <c r="F410" s="1" t="s">
        <v>16</v>
      </c>
      <c r="G410" s="1" t="s">
        <v>24</v>
      </c>
      <c r="H410" s="1" t="s">
        <v>18</v>
      </c>
      <c r="I410" s="1" t="s">
        <v>31</v>
      </c>
      <c r="J410" s="1" t="s">
        <v>39</v>
      </c>
      <c r="K410" s="1" t="s">
        <v>33</v>
      </c>
      <c r="L410" s="1">
        <v>7</v>
      </c>
      <c r="M410" s="1">
        <v>1020.23</v>
      </c>
      <c r="N410" s="1">
        <v>10</v>
      </c>
      <c r="O410" s="1">
        <v>6427.45</v>
      </c>
      <c r="P410" s="9">
        <f t="shared" si="6"/>
        <v>7141.6100000000006</v>
      </c>
      <c r="Q410" s="1"/>
      <c r="R410" s="11"/>
      <c r="S410" s="1"/>
      <c r="T410" s="1"/>
      <c r="U410" s="1"/>
    </row>
    <row r="411" spans="1:21" x14ac:dyDescent="0.3">
      <c r="A411" s="5">
        <v>10410</v>
      </c>
      <c r="B411" s="1">
        <v>1821</v>
      </c>
      <c r="C411" s="2">
        <v>45149</v>
      </c>
      <c r="D411" s="2">
        <v>45152</v>
      </c>
      <c r="E411" s="1" t="s">
        <v>34</v>
      </c>
      <c r="F411" s="1" t="s">
        <v>23</v>
      </c>
      <c r="G411" s="1" t="s">
        <v>30</v>
      </c>
      <c r="H411" s="1" t="s">
        <v>44</v>
      </c>
      <c r="I411" s="1" t="s">
        <v>49</v>
      </c>
      <c r="J411" s="1" t="s">
        <v>50</v>
      </c>
      <c r="K411" s="1" t="s">
        <v>21</v>
      </c>
      <c r="L411" s="1">
        <v>3</v>
      </c>
      <c r="M411" s="1">
        <v>2271.5500000000002</v>
      </c>
      <c r="N411" s="1">
        <v>5</v>
      </c>
      <c r="O411" s="1">
        <v>6473.92</v>
      </c>
      <c r="P411" s="9">
        <f t="shared" si="6"/>
        <v>6814.6500000000005</v>
      </c>
      <c r="Q411" s="1"/>
      <c r="R411" s="11"/>
      <c r="S411" s="1"/>
      <c r="T411" s="1"/>
      <c r="U411" s="1"/>
    </row>
    <row r="412" spans="1:21" x14ac:dyDescent="0.3">
      <c r="A412" s="5">
        <v>10411</v>
      </c>
      <c r="B412" s="1">
        <v>1162</v>
      </c>
      <c r="C412" s="2">
        <v>44985</v>
      </c>
      <c r="D412" s="2">
        <v>44993</v>
      </c>
      <c r="E412" s="1" t="s">
        <v>46</v>
      </c>
      <c r="F412" s="1" t="s">
        <v>16</v>
      </c>
      <c r="G412" s="1" t="s">
        <v>30</v>
      </c>
      <c r="H412" s="1" t="s">
        <v>25</v>
      </c>
      <c r="I412" s="1" t="s">
        <v>19</v>
      </c>
      <c r="J412" s="1" t="s">
        <v>43</v>
      </c>
      <c r="K412" s="1" t="s">
        <v>33</v>
      </c>
      <c r="L412" s="1">
        <v>3</v>
      </c>
      <c r="M412" s="1">
        <v>2165.7199999999998</v>
      </c>
      <c r="N412" s="1">
        <v>5</v>
      </c>
      <c r="O412" s="1">
        <v>6172.3</v>
      </c>
      <c r="P412" s="9">
        <f t="shared" si="6"/>
        <v>6497.16</v>
      </c>
      <c r="Q412" s="1"/>
      <c r="R412" s="11"/>
      <c r="S412" s="1"/>
      <c r="T412" s="1"/>
      <c r="U412" s="1"/>
    </row>
    <row r="413" spans="1:21" x14ac:dyDescent="0.3">
      <c r="A413" s="5">
        <v>10412</v>
      </c>
      <c r="B413" s="1">
        <v>1719</v>
      </c>
      <c r="C413" s="2">
        <v>45173</v>
      </c>
      <c r="D413" s="2">
        <v>45176</v>
      </c>
      <c r="E413" s="1" t="s">
        <v>40</v>
      </c>
      <c r="F413" s="1" t="s">
        <v>23</v>
      </c>
      <c r="G413" s="1" t="s">
        <v>24</v>
      </c>
      <c r="H413" s="1" t="s">
        <v>18</v>
      </c>
      <c r="I413" s="1" t="s">
        <v>49</v>
      </c>
      <c r="J413" s="1" t="s">
        <v>63</v>
      </c>
      <c r="K413" s="1" t="s">
        <v>47</v>
      </c>
      <c r="L413" s="1">
        <v>8</v>
      </c>
      <c r="M413" s="1">
        <v>1236.71</v>
      </c>
      <c r="N413" s="1">
        <v>15</v>
      </c>
      <c r="O413" s="1">
        <v>8409.6299999999992</v>
      </c>
      <c r="P413" s="9">
        <f t="shared" si="6"/>
        <v>9893.68</v>
      </c>
      <c r="Q413" s="1"/>
      <c r="R413" s="11"/>
      <c r="S413" s="1"/>
      <c r="T413" s="1"/>
      <c r="U413" s="1"/>
    </row>
    <row r="414" spans="1:21" x14ac:dyDescent="0.3">
      <c r="A414" s="5">
        <v>10413</v>
      </c>
      <c r="B414" s="1">
        <v>1956</v>
      </c>
      <c r="C414" s="2">
        <v>45054</v>
      </c>
      <c r="D414" s="2">
        <v>45056</v>
      </c>
      <c r="E414" s="1" t="s">
        <v>37</v>
      </c>
      <c r="F414" s="1" t="s">
        <v>54</v>
      </c>
      <c r="G414" s="1" t="s">
        <v>24</v>
      </c>
      <c r="H414" s="1" t="s">
        <v>18</v>
      </c>
      <c r="I414" s="1" t="s">
        <v>52</v>
      </c>
      <c r="J414" s="1" t="s">
        <v>53</v>
      </c>
      <c r="K414" s="1" t="s">
        <v>28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9">
        <f t="shared" si="6"/>
        <v>10380.719999999999</v>
      </c>
      <c r="Q414" s="1"/>
      <c r="R414" s="11"/>
      <c r="S414" s="1"/>
      <c r="T414" s="1"/>
      <c r="U414" s="1"/>
    </row>
    <row r="415" spans="1:21" x14ac:dyDescent="0.3">
      <c r="A415" s="5">
        <v>10414</v>
      </c>
      <c r="B415" s="1">
        <v>1680</v>
      </c>
      <c r="C415" s="2">
        <v>45209</v>
      </c>
      <c r="D415" s="2">
        <v>45212</v>
      </c>
      <c r="E415" s="1" t="s">
        <v>46</v>
      </c>
      <c r="F415" s="1" t="s">
        <v>54</v>
      </c>
      <c r="G415" s="1" t="s">
        <v>30</v>
      </c>
      <c r="H415" s="1" t="s">
        <v>42</v>
      </c>
      <c r="I415" s="1" t="s">
        <v>26</v>
      </c>
      <c r="J415" s="1" t="s">
        <v>36</v>
      </c>
      <c r="K415" s="1" t="s">
        <v>45</v>
      </c>
      <c r="L415" s="1">
        <v>1</v>
      </c>
      <c r="M415" s="1">
        <v>1219.7</v>
      </c>
      <c r="N415" s="1">
        <v>5</v>
      </c>
      <c r="O415" s="1">
        <v>1158.71</v>
      </c>
      <c r="P415" s="9">
        <f t="shared" si="6"/>
        <v>1219.7</v>
      </c>
      <c r="Q415" s="1"/>
      <c r="R415" s="11"/>
      <c r="S415" s="1"/>
      <c r="T415" s="1"/>
      <c r="U415" s="1"/>
    </row>
    <row r="416" spans="1:21" x14ac:dyDescent="0.3">
      <c r="A416" s="5">
        <v>10415</v>
      </c>
      <c r="B416" s="1">
        <v>1995</v>
      </c>
      <c r="C416" s="2">
        <v>45251</v>
      </c>
      <c r="D416" s="2">
        <v>45257</v>
      </c>
      <c r="E416" s="1" t="s">
        <v>46</v>
      </c>
      <c r="F416" s="1" t="s">
        <v>54</v>
      </c>
      <c r="G416" s="1" t="s">
        <v>17</v>
      </c>
      <c r="H416" s="1" t="s">
        <v>42</v>
      </c>
      <c r="I416" s="1" t="s">
        <v>57</v>
      </c>
      <c r="J416" s="1" t="s">
        <v>67</v>
      </c>
      <c r="K416" s="1" t="s">
        <v>28</v>
      </c>
      <c r="L416" s="1">
        <v>2</v>
      </c>
      <c r="M416" s="1">
        <v>3120.32</v>
      </c>
      <c r="N416" s="1">
        <v>20</v>
      </c>
      <c r="O416" s="1">
        <v>4992.51</v>
      </c>
      <c r="P416" s="9">
        <f t="shared" si="6"/>
        <v>6240.64</v>
      </c>
      <c r="Q416" s="1"/>
      <c r="R416" s="11"/>
      <c r="S416" s="1"/>
      <c r="T416" s="1"/>
      <c r="U416" s="1"/>
    </row>
    <row r="417" spans="1:21" x14ac:dyDescent="0.3">
      <c r="A417" s="5">
        <v>10416</v>
      </c>
      <c r="B417" s="1">
        <v>1160</v>
      </c>
      <c r="C417" s="2">
        <v>44951</v>
      </c>
      <c r="D417" s="2">
        <v>44953</v>
      </c>
      <c r="E417" s="1" t="s">
        <v>34</v>
      </c>
      <c r="F417" s="1" t="s">
        <v>54</v>
      </c>
      <c r="G417" s="1" t="s">
        <v>24</v>
      </c>
      <c r="H417" s="1" t="s">
        <v>18</v>
      </c>
      <c r="I417" s="1" t="s">
        <v>49</v>
      </c>
      <c r="J417" s="1" t="s">
        <v>63</v>
      </c>
      <c r="K417" s="1" t="s">
        <v>33</v>
      </c>
      <c r="L417" s="1">
        <v>8</v>
      </c>
      <c r="M417" s="1">
        <v>2659.82</v>
      </c>
      <c r="N417" s="1">
        <v>0</v>
      </c>
      <c r="O417" s="1">
        <v>21278.560000000001</v>
      </c>
      <c r="P417" s="9">
        <f t="shared" si="6"/>
        <v>21278.560000000001</v>
      </c>
      <c r="Q417" s="1"/>
      <c r="R417" s="11"/>
      <c r="S417" s="1"/>
      <c r="T417" s="1"/>
      <c r="U417" s="1"/>
    </row>
    <row r="418" spans="1:21" x14ac:dyDescent="0.3">
      <c r="A418" s="5">
        <v>10417</v>
      </c>
      <c r="B418" s="1">
        <v>1579</v>
      </c>
      <c r="C418" s="2">
        <v>45057</v>
      </c>
      <c r="D418" s="2">
        <v>45065</v>
      </c>
      <c r="E418" s="1" t="s">
        <v>22</v>
      </c>
      <c r="F418" s="1" t="s">
        <v>54</v>
      </c>
      <c r="G418" s="1" t="s">
        <v>17</v>
      </c>
      <c r="H418" s="1" t="s">
        <v>44</v>
      </c>
      <c r="I418" s="1" t="s">
        <v>52</v>
      </c>
      <c r="J418" s="1" t="s">
        <v>64</v>
      </c>
      <c r="K418" s="1" t="s">
        <v>45</v>
      </c>
      <c r="L418" s="1">
        <v>1</v>
      </c>
      <c r="M418" s="1">
        <v>3354.81</v>
      </c>
      <c r="N418" s="1">
        <v>0</v>
      </c>
      <c r="O418" s="1">
        <v>3354.81</v>
      </c>
      <c r="P418" s="9">
        <f t="shared" si="6"/>
        <v>3354.81</v>
      </c>
      <c r="Q418" s="1"/>
      <c r="R418" s="11"/>
      <c r="S418" s="1"/>
      <c r="T418" s="1"/>
      <c r="U418" s="1"/>
    </row>
    <row r="419" spans="1:21" x14ac:dyDescent="0.3">
      <c r="A419" s="5">
        <v>10418</v>
      </c>
      <c r="B419" s="1">
        <v>1800</v>
      </c>
      <c r="C419" s="2">
        <v>45279</v>
      </c>
      <c r="D419" s="2">
        <v>45280</v>
      </c>
      <c r="E419" s="1" t="s">
        <v>40</v>
      </c>
      <c r="F419" s="1" t="s">
        <v>54</v>
      </c>
      <c r="G419" s="1" t="s">
        <v>24</v>
      </c>
      <c r="H419" s="1" t="s">
        <v>35</v>
      </c>
      <c r="I419" s="1" t="s">
        <v>52</v>
      </c>
      <c r="J419" s="1" t="s">
        <v>56</v>
      </c>
      <c r="K419" s="1" t="s">
        <v>33</v>
      </c>
      <c r="L419" s="1">
        <v>8</v>
      </c>
      <c r="M419" s="1">
        <v>3905.57</v>
      </c>
      <c r="N419" s="1">
        <v>10</v>
      </c>
      <c r="O419" s="1">
        <v>28120.1</v>
      </c>
      <c r="P419" s="9">
        <f t="shared" si="6"/>
        <v>31244.560000000001</v>
      </c>
      <c r="Q419" s="1"/>
      <c r="R419" s="11"/>
      <c r="S419" s="1"/>
      <c r="T419" s="1"/>
      <c r="U419" s="1"/>
    </row>
    <row r="420" spans="1:21" x14ac:dyDescent="0.3">
      <c r="A420" s="5">
        <v>10419</v>
      </c>
      <c r="B420" s="1">
        <v>1397</v>
      </c>
      <c r="C420" s="2">
        <v>45122</v>
      </c>
      <c r="D420" s="2">
        <v>45129</v>
      </c>
      <c r="E420" s="1" t="s">
        <v>15</v>
      </c>
      <c r="F420" s="1" t="s">
        <v>16</v>
      </c>
      <c r="G420" s="1" t="s">
        <v>24</v>
      </c>
      <c r="H420" s="1" t="s">
        <v>35</v>
      </c>
      <c r="I420" s="1" t="s">
        <v>26</v>
      </c>
      <c r="J420" s="1" t="s">
        <v>27</v>
      </c>
      <c r="K420" s="1" t="s">
        <v>47</v>
      </c>
      <c r="L420" s="1">
        <v>8</v>
      </c>
      <c r="M420" s="1">
        <v>1975.53</v>
      </c>
      <c r="N420" s="1">
        <v>5</v>
      </c>
      <c r="O420" s="1">
        <v>15014.03</v>
      </c>
      <c r="P420" s="9">
        <f t="shared" si="6"/>
        <v>15804.24</v>
      </c>
      <c r="Q420" s="1"/>
      <c r="R420" s="11"/>
      <c r="S420" s="1"/>
      <c r="T420" s="1"/>
      <c r="U420" s="1"/>
    </row>
    <row r="421" spans="1:21" x14ac:dyDescent="0.3">
      <c r="A421" s="5">
        <v>10420</v>
      </c>
      <c r="B421" s="1">
        <v>1276</v>
      </c>
      <c r="C421" s="2">
        <v>45207</v>
      </c>
      <c r="D421" s="2">
        <v>45209</v>
      </c>
      <c r="E421" s="1" t="s">
        <v>15</v>
      </c>
      <c r="F421" s="1" t="s">
        <v>29</v>
      </c>
      <c r="G421" s="1" t="s">
        <v>24</v>
      </c>
      <c r="H421" s="1" t="s">
        <v>18</v>
      </c>
      <c r="I421" s="1" t="s">
        <v>19</v>
      </c>
      <c r="J421" s="1" t="s">
        <v>66</v>
      </c>
      <c r="K421" s="1" t="s">
        <v>21</v>
      </c>
      <c r="L421" s="1">
        <v>2</v>
      </c>
      <c r="M421" s="1">
        <v>406.77</v>
      </c>
      <c r="N421" s="1">
        <v>10</v>
      </c>
      <c r="O421" s="1">
        <v>732.19</v>
      </c>
      <c r="P421" s="9">
        <f t="shared" si="6"/>
        <v>813.54</v>
      </c>
      <c r="Q421" s="1"/>
      <c r="R421" s="11"/>
      <c r="S421" s="1"/>
      <c r="T421" s="1"/>
      <c r="U421" s="1"/>
    </row>
    <row r="422" spans="1:21" x14ac:dyDescent="0.3">
      <c r="A422" s="5">
        <v>10421</v>
      </c>
      <c r="B422" s="1">
        <v>1815</v>
      </c>
      <c r="C422" s="2">
        <v>45080</v>
      </c>
      <c r="D422" s="2">
        <v>45086</v>
      </c>
      <c r="E422" s="1" t="s">
        <v>46</v>
      </c>
      <c r="F422" s="1" t="s">
        <v>23</v>
      </c>
      <c r="G422" s="1" t="s">
        <v>24</v>
      </c>
      <c r="H422" s="1" t="s">
        <v>18</v>
      </c>
      <c r="I422" s="1" t="s">
        <v>52</v>
      </c>
      <c r="J422" s="1" t="s">
        <v>64</v>
      </c>
      <c r="K422" s="1" t="s">
        <v>45</v>
      </c>
      <c r="L422" s="1">
        <v>4</v>
      </c>
      <c r="M422" s="1">
        <v>335.16</v>
      </c>
      <c r="N422" s="1">
        <v>5</v>
      </c>
      <c r="O422" s="1">
        <v>1273.6099999999999</v>
      </c>
      <c r="P422" s="9">
        <f t="shared" si="6"/>
        <v>1340.64</v>
      </c>
      <c r="Q422" s="1"/>
      <c r="R422" s="11"/>
      <c r="S422" s="1"/>
      <c r="T422" s="1"/>
      <c r="U422" s="1"/>
    </row>
    <row r="423" spans="1:21" x14ac:dyDescent="0.3">
      <c r="A423" s="5">
        <v>10422</v>
      </c>
      <c r="B423" s="1">
        <v>1915</v>
      </c>
      <c r="C423" s="2">
        <v>45059</v>
      </c>
      <c r="D423" s="2">
        <v>45061</v>
      </c>
      <c r="E423" s="1" t="s">
        <v>16</v>
      </c>
      <c r="F423" s="1" t="s">
        <v>54</v>
      </c>
      <c r="G423" s="1" t="s">
        <v>17</v>
      </c>
      <c r="H423" s="1" t="s">
        <v>18</v>
      </c>
      <c r="I423" s="1" t="s">
        <v>52</v>
      </c>
      <c r="J423" s="1" t="s">
        <v>64</v>
      </c>
      <c r="K423" s="1" t="s">
        <v>47</v>
      </c>
      <c r="L423" s="1">
        <v>6</v>
      </c>
      <c r="M423" s="1">
        <v>1288.31</v>
      </c>
      <c r="N423" s="1">
        <v>15</v>
      </c>
      <c r="O423" s="1">
        <v>6570.38</v>
      </c>
      <c r="P423" s="9">
        <f t="shared" si="6"/>
        <v>7729.86</v>
      </c>
      <c r="Q423" s="1"/>
      <c r="R423" s="11"/>
      <c r="S423" s="1"/>
      <c r="T423" s="1"/>
      <c r="U423" s="1"/>
    </row>
    <row r="424" spans="1:21" x14ac:dyDescent="0.3">
      <c r="A424" s="5">
        <v>10423</v>
      </c>
      <c r="B424" s="1">
        <v>1503</v>
      </c>
      <c r="C424" s="2">
        <v>45153</v>
      </c>
      <c r="D424" s="2">
        <v>45155</v>
      </c>
      <c r="E424" s="1" t="s">
        <v>40</v>
      </c>
      <c r="F424" s="1" t="s">
        <v>16</v>
      </c>
      <c r="G424" s="1" t="s">
        <v>24</v>
      </c>
      <c r="H424" s="1" t="s">
        <v>44</v>
      </c>
      <c r="I424" s="1" t="s">
        <v>52</v>
      </c>
      <c r="J424" s="1" t="s">
        <v>60</v>
      </c>
      <c r="K424" s="1" t="s">
        <v>47</v>
      </c>
      <c r="L424" s="1">
        <v>9</v>
      </c>
      <c r="M424" s="1">
        <v>3740.3</v>
      </c>
      <c r="N424" s="1">
        <v>10</v>
      </c>
      <c r="O424" s="1">
        <v>30296.43</v>
      </c>
      <c r="P424" s="9">
        <f t="shared" si="6"/>
        <v>33662.700000000004</v>
      </c>
      <c r="Q424" s="1"/>
      <c r="R424" s="11"/>
      <c r="S424" s="1"/>
      <c r="T424" s="1"/>
      <c r="U424" s="1"/>
    </row>
    <row r="425" spans="1:21" x14ac:dyDescent="0.3">
      <c r="A425" s="5">
        <v>10424</v>
      </c>
      <c r="B425" s="1">
        <v>1895</v>
      </c>
      <c r="C425" s="2">
        <v>45115</v>
      </c>
      <c r="D425" s="2">
        <v>45123</v>
      </c>
      <c r="E425" s="1" t="s">
        <v>37</v>
      </c>
      <c r="F425" s="1" t="s">
        <v>16</v>
      </c>
      <c r="G425" s="1" t="s">
        <v>30</v>
      </c>
      <c r="H425" s="1" t="s">
        <v>42</v>
      </c>
      <c r="I425" s="1" t="s">
        <v>52</v>
      </c>
      <c r="J425" s="1" t="s">
        <v>56</v>
      </c>
      <c r="K425" s="1" t="s">
        <v>45</v>
      </c>
      <c r="L425" s="1">
        <v>8</v>
      </c>
      <c r="M425" s="1">
        <v>2164.37</v>
      </c>
      <c r="N425" s="1">
        <v>10</v>
      </c>
      <c r="O425" s="1">
        <v>15583.46</v>
      </c>
      <c r="P425" s="9">
        <f t="shared" si="6"/>
        <v>17314.96</v>
      </c>
      <c r="Q425" s="1"/>
      <c r="R425" s="11"/>
      <c r="S425" s="1"/>
      <c r="T425" s="1"/>
      <c r="U425" s="1"/>
    </row>
    <row r="426" spans="1:21" x14ac:dyDescent="0.3">
      <c r="A426" s="5">
        <v>10425</v>
      </c>
      <c r="B426" s="1">
        <v>1391</v>
      </c>
      <c r="C426" s="2">
        <v>45191</v>
      </c>
      <c r="D426" s="2">
        <v>45193</v>
      </c>
      <c r="E426" s="1" t="s">
        <v>16</v>
      </c>
      <c r="F426" s="1" t="s">
        <v>16</v>
      </c>
      <c r="G426" s="1" t="s">
        <v>30</v>
      </c>
      <c r="H426" s="1" t="s">
        <v>18</v>
      </c>
      <c r="I426" s="1" t="s">
        <v>31</v>
      </c>
      <c r="J426" s="1" t="s">
        <v>39</v>
      </c>
      <c r="K426" s="1" t="s">
        <v>33</v>
      </c>
      <c r="L426" s="1">
        <v>8</v>
      </c>
      <c r="M426" s="1">
        <v>1196.3800000000001</v>
      </c>
      <c r="N426" s="1">
        <v>20</v>
      </c>
      <c r="O426" s="1">
        <v>7656.83</v>
      </c>
      <c r="P426" s="9">
        <f t="shared" si="6"/>
        <v>9571.0400000000009</v>
      </c>
      <c r="Q426" s="1"/>
      <c r="R426" s="11"/>
      <c r="S426" s="1"/>
      <c r="T426" s="1"/>
      <c r="U426" s="1"/>
    </row>
    <row r="427" spans="1:21" x14ac:dyDescent="0.3">
      <c r="A427" s="5">
        <v>10426</v>
      </c>
      <c r="B427" s="1">
        <v>1134</v>
      </c>
      <c r="C427" s="2">
        <v>45060</v>
      </c>
      <c r="D427" s="2">
        <v>45067</v>
      </c>
      <c r="E427" s="1" t="s">
        <v>16</v>
      </c>
      <c r="F427" s="1" t="s">
        <v>29</v>
      </c>
      <c r="G427" s="1" t="s">
        <v>17</v>
      </c>
      <c r="H427" s="1" t="s">
        <v>18</v>
      </c>
      <c r="I427" s="1" t="s">
        <v>31</v>
      </c>
      <c r="J427" s="1" t="s">
        <v>32</v>
      </c>
      <c r="K427" s="1" t="s">
        <v>47</v>
      </c>
      <c r="L427" s="1">
        <v>7</v>
      </c>
      <c r="M427" s="1">
        <v>1686.79</v>
      </c>
      <c r="N427" s="1">
        <v>10</v>
      </c>
      <c r="O427" s="1">
        <v>10626.78</v>
      </c>
      <c r="P427" s="9">
        <f t="shared" si="6"/>
        <v>11807.529999999999</v>
      </c>
      <c r="Q427" s="1"/>
      <c r="R427" s="11"/>
      <c r="S427" s="1"/>
      <c r="T427" s="1"/>
      <c r="U427" s="1"/>
    </row>
    <row r="428" spans="1:21" x14ac:dyDescent="0.3">
      <c r="A428" s="5">
        <v>10427</v>
      </c>
      <c r="B428" s="1">
        <v>1194</v>
      </c>
      <c r="C428" s="2">
        <v>45137</v>
      </c>
      <c r="D428" s="2">
        <v>45140</v>
      </c>
      <c r="E428" s="1" t="s">
        <v>40</v>
      </c>
      <c r="F428" s="1" t="s">
        <v>23</v>
      </c>
      <c r="G428" s="1" t="s">
        <v>24</v>
      </c>
      <c r="H428" s="1" t="s">
        <v>25</v>
      </c>
      <c r="I428" s="1" t="s">
        <v>19</v>
      </c>
      <c r="J428" s="1" t="s">
        <v>55</v>
      </c>
      <c r="K428" s="1" t="s">
        <v>28</v>
      </c>
      <c r="L428" s="1">
        <v>9</v>
      </c>
      <c r="M428" s="1">
        <v>2454.59</v>
      </c>
      <c r="N428" s="1">
        <v>5</v>
      </c>
      <c r="O428" s="1">
        <v>20986.74</v>
      </c>
      <c r="P428" s="9">
        <f t="shared" si="6"/>
        <v>22091.31</v>
      </c>
      <c r="Q428" s="1"/>
      <c r="R428" s="11"/>
      <c r="S428" s="1"/>
      <c r="T428" s="1"/>
      <c r="U428" s="1"/>
    </row>
    <row r="429" spans="1:21" x14ac:dyDescent="0.3">
      <c r="A429" s="5">
        <v>10428</v>
      </c>
      <c r="B429" s="1">
        <v>1400</v>
      </c>
      <c r="C429" s="2">
        <v>44986</v>
      </c>
      <c r="D429" s="2">
        <v>44994</v>
      </c>
      <c r="E429" s="1" t="s">
        <v>22</v>
      </c>
      <c r="F429" s="1" t="s">
        <v>29</v>
      </c>
      <c r="G429" s="1" t="s">
        <v>30</v>
      </c>
      <c r="H429" s="1" t="s">
        <v>44</v>
      </c>
      <c r="I429" s="1" t="s">
        <v>49</v>
      </c>
      <c r="J429" s="1" t="s">
        <v>51</v>
      </c>
      <c r="K429" s="1" t="s">
        <v>47</v>
      </c>
      <c r="L429" s="1">
        <v>2</v>
      </c>
      <c r="M429" s="1">
        <v>2663.86</v>
      </c>
      <c r="N429" s="1">
        <v>20</v>
      </c>
      <c r="O429" s="1">
        <v>4262.18</v>
      </c>
      <c r="P429" s="9">
        <f t="shared" si="6"/>
        <v>5327.72</v>
      </c>
      <c r="Q429" s="1"/>
      <c r="R429" s="11"/>
      <c r="S429" s="1"/>
      <c r="T429" s="1"/>
      <c r="U429" s="1"/>
    </row>
    <row r="430" spans="1:21" x14ac:dyDescent="0.3">
      <c r="A430" s="5">
        <v>10429</v>
      </c>
      <c r="B430" s="1">
        <v>1639</v>
      </c>
      <c r="C430" s="2">
        <v>45290</v>
      </c>
      <c r="D430" s="2">
        <v>45297</v>
      </c>
      <c r="E430" s="1" t="s">
        <v>46</v>
      </c>
      <c r="F430" s="1" t="s">
        <v>38</v>
      </c>
      <c r="G430" s="1" t="s">
        <v>17</v>
      </c>
      <c r="H430" s="1" t="s">
        <v>18</v>
      </c>
      <c r="I430" s="1" t="s">
        <v>52</v>
      </c>
      <c r="J430" s="1" t="s">
        <v>56</v>
      </c>
      <c r="K430" s="1" t="s">
        <v>33</v>
      </c>
      <c r="L430" s="1">
        <v>3</v>
      </c>
      <c r="M430" s="1">
        <v>742.59</v>
      </c>
      <c r="N430" s="1">
        <v>10</v>
      </c>
      <c r="O430" s="1">
        <v>2004.99</v>
      </c>
      <c r="P430" s="9">
        <f t="shared" si="6"/>
        <v>2227.77</v>
      </c>
      <c r="Q430" s="1"/>
      <c r="R430" s="11"/>
      <c r="S430" s="1"/>
      <c r="T430" s="1"/>
      <c r="U430" s="1"/>
    </row>
    <row r="431" spans="1:21" x14ac:dyDescent="0.3">
      <c r="A431" s="5">
        <v>10430</v>
      </c>
      <c r="B431" s="1">
        <v>1032</v>
      </c>
      <c r="C431" s="2">
        <v>45290</v>
      </c>
      <c r="D431" s="2">
        <v>45298</v>
      </c>
      <c r="E431" s="1" t="s">
        <v>46</v>
      </c>
      <c r="F431" s="1" t="s">
        <v>16</v>
      </c>
      <c r="G431" s="1" t="s">
        <v>24</v>
      </c>
      <c r="H431" s="1" t="s">
        <v>25</v>
      </c>
      <c r="I431" s="1" t="s">
        <v>26</v>
      </c>
      <c r="J431" s="1" t="s">
        <v>69</v>
      </c>
      <c r="K431" s="1" t="s">
        <v>33</v>
      </c>
      <c r="L431" s="1">
        <v>8</v>
      </c>
      <c r="M431" s="1">
        <v>3911.57</v>
      </c>
      <c r="N431" s="1">
        <v>10</v>
      </c>
      <c r="O431" s="1">
        <v>28163.3</v>
      </c>
      <c r="P431" s="9">
        <f t="shared" si="6"/>
        <v>31292.560000000001</v>
      </c>
      <c r="Q431" s="1"/>
      <c r="R431" s="11"/>
      <c r="S431" s="1"/>
      <c r="T431" s="1"/>
      <c r="U431" s="1"/>
    </row>
    <row r="432" spans="1:21" x14ac:dyDescent="0.3">
      <c r="A432" s="5">
        <v>10431</v>
      </c>
      <c r="B432" s="1">
        <v>1687</v>
      </c>
      <c r="C432" s="2">
        <v>45139</v>
      </c>
      <c r="D432" s="2">
        <v>45146</v>
      </c>
      <c r="E432" s="1" t="s">
        <v>46</v>
      </c>
      <c r="F432" s="1" t="s">
        <v>38</v>
      </c>
      <c r="G432" s="1" t="s">
        <v>30</v>
      </c>
      <c r="H432" s="1" t="s">
        <v>35</v>
      </c>
      <c r="I432" s="1" t="s">
        <v>49</v>
      </c>
      <c r="J432" s="1" t="s">
        <v>51</v>
      </c>
      <c r="K432" s="1" t="s">
        <v>28</v>
      </c>
      <c r="L432" s="1">
        <v>6</v>
      </c>
      <c r="M432" s="1">
        <v>2247.37</v>
      </c>
      <c r="N432" s="1">
        <v>15</v>
      </c>
      <c r="O432" s="1">
        <v>11461.59</v>
      </c>
      <c r="P432" s="9">
        <f t="shared" si="6"/>
        <v>13484.22</v>
      </c>
      <c r="Q432" s="1"/>
      <c r="R432" s="11"/>
      <c r="S432" s="1"/>
      <c r="T432" s="1"/>
      <c r="U432" s="1"/>
    </row>
    <row r="433" spans="1:21" x14ac:dyDescent="0.3">
      <c r="A433" s="5">
        <v>10432</v>
      </c>
      <c r="B433" s="1">
        <v>1459</v>
      </c>
      <c r="C433" s="2">
        <v>45142</v>
      </c>
      <c r="D433" s="2">
        <v>45148</v>
      </c>
      <c r="E433" s="1" t="s">
        <v>46</v>
      </c>
      <c r="F433" s="1" t="s">
        <v>41</v>
      </c>
      <c r="G433" s="1" t="s">
        <v>30</v>
      </c>
      <c r="H433" s="1" t="s">
        <v>18</v>
      </c>
      <c r="I433" s="1" t="s">
        <v>26</v>
      </c>
      <c r="J433" s="1" t="s">
        <v>61</v>
      </c>
      <c r="K433" s="1" t="s">
        <v>47</v>
      </c>
      <c r="L433" s="1">
        <v>9</v>
      </c>
      <c r="M433" s="1">
        <v>672.4</v>
      </c>
      <c r="N433" s="1">
        <v>10</v>
      </c>
      <c r="O433" s="1">
        <v>5446.44</v>
      </c>
      <c r="P433" s="9">
        <f t="shared" si="6"/>
        <v>6051.5999999999995</v>
      </c>
      <c r="Q433" s="1"/>
      <c r="R433" s="11"/>
      <c r="S433" s="1"/>
      <c r="T433" s="1"/>
      <c r="U433" s="1"/>
    </row>
    <row r="434" spans="1:21" x14ac:dyDescent="0.3">
      <c r="A434" s="5">
        <v>10433</v>
      </c>
      <c r="B434" s="1">
        <v>1954</v>
      </c>
      <c r="C434" s="2">
        <v>45152</v>
      </c>
      <c r="D434" s="2">
        <v>45159</v>
      </c>
      <c r="E434" s="1" t="s">
        <v>15</v>
      </c>
      <c r="F434" s="1" t="s">
        <v>54</v>
      </c>
      <c r="G434" s="1" t="s">
        <v>17</v>
      </c>
      <c r="H434" s="1" t="s">
        <v>18</v>
      </c>
      <c r="I434" s="1" t="s">
        <v>49</v>
      </c>
      <c r="J434" s="1" t="s">
        <v>51</v>
      </c>
      <c r="K434" s="1" t="s">
        <v>33</v>
      </c>
      <c r="L434" s="1">
        <v>4</v>
      </c>
      <c r="M434" s="1">
        <v>3590.5</v>
      </c>
      <c r="N434" s="1">
        <v>0</v>
      </c>
      <c r="O434" s="1">
        <v>14362</v>
      </c>
      <c r="P434" s="9">
        <f t="shared" si="6"/>
        <v>14362</v>
      </c>
      <c r="Q434" s="1"/>
      <c r="R434" s="11"/>
      <c r="S434" s="1"/>
      <c r="T434" s="1"/>
      <c r="U434" s="1"/>
    </row>
    <row r="435" spans="1:21" x14ac:dyDescent="0.3">
      <c r="A435" s="5">
        <v>10434</v>
      </c>
      <c r="B435" s="1">
        <v>1882</v>
      </c>
      <c r="C435" s="2">
        <v>45057</v>
      </c>
      <c r="D435" s="2">
        <v>45062</v>
      </c>
      <c r="E435" s="1" t="s">
        <v>46</v>
      </c>
      <c r="F435" s="1" t="s">
        <v>54</v>
      </c>
      <c r="G435" s="1" t="s">
        <v>24</v>
      </c>
      <c r="H435" s="1" t="s">
        <v>25</v>
      </c>
      <c r="I435" s="1" t="s">
        <v>19</v>
      </c>
      <c r="J435" s="1" t="s">
        <v>20</v>
      </c>
      <c r="K435" s="1" t="s">
        <v>45</v>
      </c>
      <c r="L435" s="1">
        <v>8</v>
      </c>
      <c r="M435" s="1">
        <v>437.36</v>
      </c>
      <c r="N435" s="1">
        <v>20</v>
      </c>
      <c r="O435" s="1">
        <v>2799.1</v>
      </c>
      <c r="P435" s="9">
        <f t="shared" si="6"/>
        <v>3498.88</v>
      </c>
      <c r="Q435" s="1"/>
      <c r="R435" s="11"/>
      <c r="S435" s="1"/>
      <c r="T435" s="1"/>
      <c r="U435" s="1"/>
    </row>
    <row r="436" spans="1:21" x14ac:dyDescent="0.3">
      <c r="A436" s="5">
        <v>10435</v>
      </c>
      <c r="B436" s="1">
        <v>1469</v>
      </c>
      <c r="C436" s="2">
        <v>45002</v>
      </c>
      <c r="D436" s="2">
        <v>45009</v>
      </c>
      <c r="E436" s="1" t="s">
        <v>15</v>
      </c>
      <c r="F436" s="1" t="s">
        <v>29</v>
      </c>
      <c r="G436" s="1" t="s">
        <v>24</v>
      </c>
      <c r="H436" s="1" t="s">
        <v>44</v>
      </c>
      <c r="I436" s="1" t="s">
        <v>52</v>
      </c>
      <c r="J436" s="1" t="s">
        <v>56</v>
      </c>
      <c r="K436" s="1" t="s">
        <v>21</v>
      </c>
      <c r="L436" s="1">
        <v>3</v>
      </c>
      <c r="M436" s="1">
        <v>3644.78</v>
      </c>
      <c r="N436" s="1">
        <v>0</v>
      </c>
      <c r="O436" s="1">
        <v>10934.34</v>
      </c>
      <c r="P436" s="9">
        <f t="shared" si="6"/>
        <v>10934.34</v>
      </c>
      <c r="Q436" s="1"/>
      <c r="R436" s="11"/>
      <c r="S436" s="1"/>
      <c r="T436" s="1"/>
      <c r="U436" s="1"/>
    </row>
    <row r="437" spans="1:21" x14ac:dyDescent="0.3">
      <c r="A437" s="5">
        <v>10436</v>
      </c>
      <c r="B437" s="1">
        <v>1374</v>
      </c>
      <c r="C437" s="2">
        <v>45212</v>
      </c>
      <c r="D437" s="2">
        <v>45213</v>
      </c>
      <c r="E437" s="1" t="s">
        <v>15</v>
      </c>
      <c r="F437" s="1" t="s">
        <v>23</v>
      </c>
      <c r="G437" s="1" t="s">
        <v>30</v>
      </c>
      <c r="H437" s="1" t="s">
        <v>18</v>
      </c>
      <c r="I437" s="1" t="s">
        <v>52</v>
      </c>
      <c r="J437" s="1" t="s">
        <v>60</v>
      </c>
      <c r="K437" s="1" t="s">
        <v>21</v>
      </c>
      <c r="L437" s="1">
        <v>3</v>
      </c>
      <c r="M437" s="1">
        <v>3986.78</v>
      </c>
      <c r="N437" s="1">
        <v>20</v>
      </c>
      <c r="O437" s="1">
        <v>9568.27</v>
      </c>
      <c r="P437" s="9">
        <f t="shared" si="6"/>
        <v>11960.34</v>
      </c>
      <c r="Q437" s="1"/>
      <c r="R437" s="11"/>
      <c r="S437" s="1"/>
      <c r="T437" s="1"/>
      <c r="U437" s="1"/>
    </row>
    <row r="438" spans="1:21" x14ac:dyDescent="0.3">
      <c r="A438" s="5">
        <v>10437</v>
      </c>
      <c r="B438" s="1">
        <v>1021</v>
      </c>
      <c r="C438" s="2">
        <v>45203</v>
      </c>
      <c r="D438" s="2">
        <v>45204</v>
      </c>
      <c r="E438" s="1" t="s">
        <v>22</v>
      </c>
      <c r="F438" s="1" t="s">
        <v>38</v>
      </c>
      <c r="G438" s="1" t="s">
        <v>30</v>
      </c>
      <c r="H438" s="1" t="s">
        <v>35</v>
      </c>
      <c r="I438" s="1" t="s">
        <v>57</v>
      </c>
      <c r="J438" s="1" t="s">
        <v>62</v>
      </c>
      <c r="K438" s="1" t="s">
        <v>21</v>
      </c>
      <c r="L438" s="1">
        <v>8</v>
      </c>
      <c r="M438" s="1">
        <v>2846.66</v>
      </c>
      <c r="N438" s="1">
        <v>15</v>
      </c>
      <c r="O438" s="1">
        <v>19357.29</v>
      </c>
      <c r="P438" s="9">
        <f t="shared" si="6"/>
        <v>22773.279999999999</v>
      </c>
      <c r="Q438" s="1"/>
      <c r="R438" s="11"/>
      <c r="S438" s="1"/>
      <c r="T438" s="1"/>
      <c r="U438" s="1"/>
    </row>
    <row r="439" spans="1:21" x14ac:dyDescent="0.3">
      <c r="A439" s="5">
        <v>10438</v>
      </c>
      <c r="B439" s="1">
        <v>1749</v>
      </c>
      <c r="C439" s="2">
        <v>45082</v>
      </c>
      <c r="D439" s="2">
        <v>45091</v>
      </c>
      <c r="E439" s="1" t="s">
        <v>46</v>
      </c>
      <c r="F439" s="1" t="s">
        <v>23</v>
      </c>
      <c r="G439" s="1" t="s">
        <v>30</v>
      </c>
      <c r="H439" s="1" t="s">
        <v>18</v>
      </c>
      <c r="I439" s="1" t="s">
        <v>26</v>
      </c>
      <c r="J439" s="1" t="s">
        <v>61</v>
      </c>
      <c r="K439" s="1" t="s">
        <v>47</v>
      </c>
      <c r="L439" s="1">
        <v>5</v>
      </c>
      <c r="M439" s="1">
        <v>3116.22</v>
      </c>
      <c r="N439" s="1">
        <v>10</v>
      </c>
      <c r="O439" s="1">
        <v>14022.99</v>
      </c>
      <c r="P439" s="9">
        <f t="shared" si="6"/>
        <v>15581.099999999999</v>
      </c>
      <c r="Q439" s="1"/>
      <c r="R439" s="11"/>
      <c r="S439" s="1"/>
      <c r="T439" s="1"/>
      <c r="U439" s="1"/>
    </row>
    <row r="440" spans="1:21" x14ac:dyDescent="0.3">
      <c r="A440" s="5">
        <v>10439</v>
      </c>
      <c r="B440" s="1">
        <v>1669</v>
      </c>
      <c r="C440" s="2">
        <v>45174</v>
      </c>
      <c r="D440" s="2">
        <v>45179</v>
      </c>
      <c r="E440" s="1" t="s">
        <v>34</v>
      </c>
      <c r="F440" s="1" t="s">
        <v>29</v>
      </c>
      <c r="G440" s="1" t="s">
        <v>24</v>
      </c>
      <c r="H440" s="1" t="s">
        <v>35</v>
      </c>
      <c r="I440" s="1" t="s">
        <v>49</v>
      </c>
      <c r="J440" s="1" t="s">
        <v>51</v>
      </c>
      <c r="K440" s="1" t="s">
        <v>28</v>
      </c>
      <c r="L440" s="1">
        <v>3</v>
      </c>
      <c r="M440" s="1">
        <v>1448.62</v>
      </c>
      <c r="N440" s="1">
        <v>10</v>
      </c>
      <c r="O440" s="1">
        <v>3911.27</v>
      </c>
      <c r="P440" s="9">
        <f t="shared" si="6"/>
        <v>4345.8599999999997</v>
      </c>
      <c r="Q440" s="1"/>
      <c r="R440" s="11"/>
      <c r="S440" s="1"/>
      <c r="T440" s="1"/>
      <c r="U440" s="1"/>
    </row>
    <row r="441" spans="1:21" x14ac:dyDescent="0.3">
      <c r="A441" s="5">
        <v>10440</v>
      </c>
      <c r="B441" s="1">
        <v>1037</v>
      </c>
      <c r="C441" s="2">
        <v>45144</v>
      </c>
      <c r="D441" s="2">
        <v>45149</v>
      </c>
      <c r="E441" s="1" t="s">
        <v>37</v>
      </c>
      <c r="F441" s="1" t="s">
        <v>54</v>
      </c>
      <c r="G441" s="1" t="s">
        <v>17</v>
      </c>
      <c r="H441" s="1" t="s">
        <v>42</v>
      </c>
      <c r="I441" s="1" t="s">
        <v>49</v>
      </c>
      <c r="J441" s="1" t="s">
        <v>50</v>
      </c>
      <c r="K441" s="1" t="s">
        <v>33</v>
      </c>
      <c r="L441" s="1">
        <v>1</v>
      </c>
      <c r="M441" s="1">
        <v>3775.07</v>
      </c>
      <c r="N441" s="1">
        <v>10</v>
      </c>
      <c r="O441" s="1">
        <v>3397.56</v>
      </c>
      <c r="P441" s="9">
        <f t="shared" si="6"/>
        <v>3775.07</v>
      </c>
      <c r="Q441" s="1"/>
      <c r="R441" s="11"/>
      <c r="S441" s="1"/>
      <c r="T441" s="1"/>
      <c r="U441" s="1"/>
    </row>
    <row r="442" spans="1:21" x14ac:dyDescent="0.3">
      <c r="A442" s="5">
        <v>10441</v>
      </c>
      <c r="B442" s="1">
        <v>1229</v>
      </c>
      <c r="C442" s="2">
        <v>45116</v>
      </c>
      <c r="D442" s="2">
        <v>45119</v>
      </c>
      <c r="E442" s="1" t="s">
        <v>16</v>
      </c>
      <c r="F442" s="1" t="s">
        <v>23</v>
      </c>
      <c r="G442" s="1" t="s">
        <v>17</v>
      </c>
      <c r="H442" s="1" t="s">
        <v>42</v>
      </c>
      <c r="I442" s="1" t="s">
        <v>31</v>
      </c>
      <c r="J442" s="1" t="s">
        <v>65</v>
      </c>
      <c r="K442" s="1" t="s">
        <v>45</v>
      </c>
      <c r="L442" s="1">
        <v>3</v>
      </c>
      <c r="M442" s="1">
        <v>2189.4</v>
      </c>
      <c r="N442" s="1">
        <v>20</v>
      </c>
      <c r="O442" s="1">
        <v>5254.56</v>
      </c>
      <c r="P442" s="9">
        <f t="shared" si="6"/>
        <v>6568.2000000000007</v>
      </c>
      <c r="Q442" s="1"/>
      <c r="R442" s="11"/>
      <c r="S442" s="1"/>
      <c r="T442" s="1"/>
      <c r="U442" s="1"/>
    </row>
    <row r="443" spans="1:21" x14ac:dyDescent="0.3">
      <c r="A443" s="5">
        <v>10442</v>
      </c>
      <c r="B443" s="1">
        <v>1364</v>
      </c>
      <c r="C443" s="2">
        <v>45089</v>
      </c>
      <c r="D443" s="2">
        <v>45094</v>
      </c>
      <c r="E443" s="1" t="s">
        <v>15</v>
      </c>
      <c r="F443" s="1" t="s">
        <v>23</v>
      </c>
      <c r="G443" s="1" t="s">
        <v>24</v>
      </c>
      <c r="H443" s="1" t="s">
        <v>35</v>
      </c>
      <c r="I443" s="1" t="s">
        <v>57</v>
      </c>
      <c r="J443" s="1" t="s">
        <v>58</v>
      </c>
      <c r="K443" s="1" t="s">
        <v>45</v>
      </c>
      <c r="L443" s="1">
        <v>9</v>
      </c>
      <c r="M443" s="1">
        <v>2969.7</v>
      </c>
      <c r="N443" s="1">
        <v>10</v>
      </c>
      <c r="O443" s="1">
        <v>24054.57</v>
      </c>
      <c r="P443" s="9">
        <f t="shared" si="6"/>
        <v>26727.3</v>
      </c>
      <c r="Q443" s="1"/>
      <c r="R443" s="11"/>
      <c r="S443" s="1"/>
      <c r="T443" s="1"/>
      <c r="U443" s="1"/>
    </row>
    <row r="444" spans="1:21" x14ac:dyDescent="0.3">
      <c r="A444" s="5">
        <v>10443</v>
      </c>
      <c r="B444" s="1">
        <v>1562</v>
      </c>
      <c r="C444" s="2">
        <v>45106</v>
      </c>
      <c r="D444" s="2">
        <v>45109</v>
      </c>
      <c r="E444" s="1" t="s">
        <v>40</v>
      </c>
      <c r="F444" s="1" t="s">
        <v>54</v>
      </c>
      <c r="G444" s="1" t="s">
        <v>17</v>
      </c>
      <c r="H444" s="1" t="s">
        <v>44</v>
      </c>
      <c r="I444" s="1" t="s">
        <v>31</v>
      </c>
      <c r="J444" s="1" t="s">
        <v>65</v>
      </c>
      <c r="K444" s="1" t="s">
        <v>47</v>
      </c>
      <c r="L444" s="1">
        <v>5</v>
      </c>
      <c r="M444" s="1">
        <v>3707.81</v>
      </c>
      <c r="N444" s="1">
        <v>0</v>
      </c>
      <c r="O444" s="1">
        <v>18539.05</v>
      </c>
      <c r="P444" s="9">
        <f t="shared" si="6"/>
        <v>18539.05</v>
      </c>
      <c r="Q444" s="1"/>
      <c r="R444" s="11"/>
      <c r="S444" s="1"/>
      <c r="T444" s="1"/>
      <c r="U444" s="1"/>
    </row>
    <row r="445" spans="1:21" x14ac:dyDescent="0.3">
      <c r="A445" s="5">
        <v>10444</v>
      </c>
      <c r="B445" s="1">
        <v>1437</v>
      </c>
      <c r="C445" s="2">
        <v>44960</v>
      </c>
      <c r="D445" s="2">
        <v>44969</v>
      </c>
      <c r="E445" s="1" t="s">
        <v>40</v>
      </c>
      <c r="F445" s="1" t="s">
        <v>38</v>
      </c>
      <c r="G445" s="1" t="s">
        <v>30</v>
      </c>
      <c r="H445" s="1" t="s">
        <v>18</v>
      </c>
      <c r="I445" s="1" t="s">
        <v>31</v>
      </c>
      <c r="J445" s="1" t="s">
        <v>32</v>
      </c>
      <c r="K445" s="1" t="s">
        <v>21</v>
      </c>
      <c r="L445" s="1">
        <v>2</v>
      </c>
      <c r="M445" s="1">
        <v>3904.44</v>
      </c>
      <c r="N445" s="1">
        <v>10</v>
      </c>
      <c r="O445" s="1">
        <v>7027.99</v>
      </c>
      <c r="P445" s="9">
        <f t="shared" si="6"/>
        <v>7808.88</v>
      </c>
      <c r="Q445" s="1"/>
      <c r="R445" s="11"/>
      <c r="S445" s="1"/>
      <c r="T445" s="1"/>
      <c r="U445" s="1"/>
    </row>
    <row r="446" spans="1:21" x14ac:dyDescent="0.3">
      <c r="A446" s="5">
        <v>10445</v>
      </c>
      <c r="B446" s="1">
        <v>1775</v>
      </c>
      <c r="C446" s="2">
        <v>44967</v>
      </c>
      <c r="D446" s="2">
        <v>44976</v>
      </c>
      <c r="E446" s="1" t="s">
        <v>37</v>
      </c>
      <c r="F446" s="1" t="s">
        <v>54</v>
      </c>
      <c r="G446" s="1" t="s">
        <v>17</v>
      </c>
      <c r="H446" s="1" t="s">
        <v>18</v>
      </c>
      <c r="I446" s="1" t="s">
        <v>31</v>
      </c>
      <c r="J446" s="1" t="s">
        <v>48</v>
      </c>
      <c r="K446" s="1" t="s">
        <v>47</v>
      </c>
      <c r="L446" s="1">
        <v>7</v>
      </c>
      <c r="M446" s="1">
        <v>3357.84</v>
      </c>
      <c r="N446" s="1">
        <v>15</v>
      </c>
      <c r="O446" s="1">
        <v>19979.150000000001</v>
      </c>
      <c r="P446" s="9">
        <f t="shared" si="6"/>
        <v>23504.880000000001</v>
      </c>
      <c r="Q446" s="1"/>
      <c r="R446" s="11"/>
      <c r="S446" s="1"/>
      <c r="T446" s="1"/>
      <c r="U446" s="1"/>
    </row>
    <row r="447" spans="1:21" x14ac:dyDescent="0.3">
      <c r="A447" s="5">
        <v>10446</v>
      </c>
      <c r="B447" s="1">
        <v>1282</v>
      </c>
      <c r="C447" s="2">
        <v>45233</v>
      </c>
      <c r="D447" s="2">
        <v>45239</v>
      </c>
      <c r="E447" s="1" t="s">
        <v>40</v>
      </c>
      <c r="F447" s="1" t="s">
        <v>23</v>
      </c>
      <c r="G447" s="1" t="s">
        <v>17</v>
      </c>
      <c r="H447" s="1" t="s">
        <v>42</v>
      </c>
      <c r="I447" s="1" t="s">
        <v>26</v>
      </c>
      <c r="J447" s="1" t="s">
        <v>27</v>
      </c>
      <c r="K447" s="1" t="s">
        <v>28</v>
      </c>
      <c r="L447" s="1">
        <v>2</v>
      </c>
      <c r="M447" s="1">
        <v>1316.62</v>
      </c>
      <c r="N447" s="1">
        <v>0</v>
      </c>
      <c r="O447" s="1">
        <v>2633.24</v>
      </c>
      <c r="P447" s="9">
        <f t="shared" si="6"/>
        <v>2633.24</v>
      </c>
      <c r="Q447" s="1"/>
      <c r="R447" s="11"/>
      <c r="S447" s="1"/>
      <c r="T447" s="1"/>
      <c r="U447" s="1"/>
    </row>
    <row r="448" spans="1:21" x14ac:dyDescent="0.3">
      <c r="A448" s="5">
        <v>10447</v>
      </c>
      <c r="B448" s="1">
        <v>1026</v>
      </c>
      <c r="C448" s="2">
        <v>45264</v>
      </c>
      <c r="D448" s="2">
        <v>45265</v>
      </c>
      <c r="E448" s="1" t="s">
        <v>34</v>
      </c>
      <c r="F448" s="1" t="s">
        <v>38</v>
      </c>
      <c r="G448" s="1" t="s">
        <v>17</v>
      </c>
      <c r="H448" s="1" t="s">
        <v>35</v>
      </c>
      <c r="I448" s="1" t="s">
        <v>26</v>
      </c>
      <c r="J448" s="1" t="s">
        <v>69</v>
      </c>
      <c r="K448" s="1" t="s">
        <v>28</v>
      </c>
      <c r="L448" s="1">
        <v>4</v>
      </c>
      <c r="M448" s="1">
        <v>3871.21</v>
      </c>
      <c r="N448" s="1">
        <v>10</v>
      </c>
      <c r="O448" s="1">
        <v>13936.36</v>
      </c>
      <c r="P448" s="9">
        <f t="shared" si="6"/>
        <v>15484.84</v>
      </c>
      <c r="Q448" s="1"/>
      <c r="R448" s="11"/>
      <c r="S448" s="1"/>
      <c r="T448" s="1"/>
      <c r="U448" s="1"/>
    </row>
    <row r="449" spans="1:21" x14ac:dyDescent="0.3">
      <c r="A449" s="5">
        <v>10448</v>
      </c>
      <c r="B449" s="1">
        <v>1225</v>
      </c>
      <c r="C449" s="2">
        <v>45240</v>
      </c>
      <c r="D449" s="2">
        <v>45247</v>
      </c>
      <c r="E449" s="1" t="s">
        <v>40</v>
      </c>
      <c r="F449" s="1" t="s">
        <v>38</v>
      </c>
      <c r="G449" s="1" t="s">
        <v>30</v>
      </c>
      <c r="H449" s="1" t="s">
        <v>18</v>
      </c>
      <c r="I449" s="1" t="s">
        <v>19</v>
      </c>
      <c r="J449" s="1" t="s">
        <v>20</v>
      </c>
      <c r="K449" s="1" t="s">
        <v>33</v>
      </c>
      <c r="L449" s="1">
        <v>7</v>
      </c>
      <c r="M449" s="1">
        <v>2568.2600000000002</v>
      </c>
      <c r="N449" s="1">
        <v>10</v>
      </c>
      <c r="O449" s="1">
        <v>16180.04</v>
      </c>
      <c r="P449" s="9">
        <f t="shared" si="6"/>
        <v>17977.82</v>
      </c>
      <c r="Q449" s="1"/>
      <c r="R449" s="11"/>
      <c r="S449" s="1"/>
      <c r="T449" s="1"/>
      <c r="U449" s="1"/>
    </row>
    <row r="450" spans="1:21" x14ac:dyDescent="0.3">
      <c r="A450" s="5">
        <v>10449</v>
      </c>
      <c r="B450" s="1">
        <v>1276</v>
      </c>
      <c r="C450" s="2">
        <v>45001</v>
      </c>
      <c r="D450" s="2">
        <v>45008</v>
      </c>
      <c r="E450" s="1" t="s">
        <v>16</v>
      </c>
      <c r="F450" s="1" t="s">
        <v>54</v>
      </c>
      <c r="G450" s="1" t="s">
        <v>24</v>
      </c>
      <c r="H450" s="1" t="s">
        <v>18</v>
      </c>
      <c r="I450" s="1" t="s">
        <v>19</v>
      </c>
      <c r="J450" s="1" t="s">
        <v>66</v>
      </c>
      <c r="K450" s="1" t="s">
        <v>33</v>
      </c>
      <c r="L450" s="1">
        <v>4</v>
      </c>
      <c r="M450" s="1">
        <v>3732.97</v>
      </c>
      <c r="N450" s="1">
        <v>5</v>
      </c>
      <c r="O450" s="1">
        <v>14185.29</v>
      </c>
      <c r="P450" s="9">
        <f t="shared" si="6"/>
        <v>14931.88</v>
      </c>
      <c r="Q450" s="1"/>
      <c r="R450" s="11"/>
      <c r="S450" s="1"/>
      <c r="T450" s="1"/>
      <c r="U450" s="1"/>
    </row>
    <row r="451" spans="1:21" x14ac:dyDescent="0.3">
      <c r="A451" s="5">
        <v>10450</v>
      </c>
      <c r="B451" s="1">
        <v>1797</v>
      </c>
      <c r="C451" s="2">
        <v>45205</v>
      </c>
      <c r="D451" s="2">
        <v>45209</v>
      </c>
      <c r="E451" s="1" t="s">
        <v>16</v>
      </c>
      <c r="F451" s="1" t="s">
        <v>23</v>
      </c>
      <c r="G451" s="1" t="s">
        <v>30</v>
      </c>
      <c r="H451" s="1" t="s">
        <v>44</v>
      </c>
      <c r="I451" s="1" t="s">
        <v>31</v>
      </c>
      <c r="J451" s="1" t="s">
        <v>32</v>
      </c>
      <c r="K451" s="1" t="s">
        <v>28</v>
      </c>
      <c r="L451" s="1">
        <v>7</v>
      </c>
      <c r="M451" s="1">
        <v>2753</v>
      </c>
      <c r="N451" s="1">
        <v>20</v>
      </c>
      <c r="O451" s="1">
        <v>15416.8</v>
      </c>
      <c r="P451" s="9">
        <f t="shared" ref="P451:P501" si="7">L451*M451</f>
        <v>19271</v>
      </c>
      <c r="Q451" s="1"/>
      <c r="R451" s="11"/>
      <c r="S451" s="1"/>
      <c r="T451" s="1"/>
      <c r="U451" s="1"/>
    </row>
    <row r="452" spans="1:21" x14ac:dyDescent="0.3">
      <c r="A452" s="5">
        <v>10451</v>
      </c>
      <c r="B452" s="1">
        <v>1608</v>
      </c>
      <c r="C452" s="2">
        <v>45102</v>
      </c>
      <c r="D452" s="2">
        <v>45110</v>
      </c>
      <c r="E452" s="1" t="s">
        <v>15</v>
      </c>
      <c r="F452" s="1" t="s">
        <v>29</v>
      </c>
      <c r="G452" s="1" t="s">
        <v>24</v>
      </c>
      <c r="H452" s="1" t="s">
        <v>25</v>
      </c>
      <c r="I452" s="1" t="s">
        <v>57</v>
      </c>
      <c r="J452" s="1" t="s">
        <v>59</v>
      </c>
      <c r="K452" s="1" t="s">
        <v>28</v>
      </c>
      <c r="L452" s="1">
        <v>7</v>
      </c>
      <c r="M452" s="1">
        <v>1332.87</v>
      </c>
      <c r="N452" s="1">
        <v>0</v>
      </c>
      <c r="O452" s="1">
        <v>9330.09</v>
      </c>
      <c r="P452" s="9">
        <f t="shared" si="7"/>
        <v>9330.09</v>
      </c>
      <c r="Q452" s="1"/>
      <c r="R452" s="11"/>
      <c r="S452" s="1"/>
      <c r="T452" s="1"/>
      <c r="U452" s="1"/>
    </row>
    <row r="453" spans="1:21" x14ac:dyDescent="0.3">
      <c r="A453" s="5">
        <v>10452</v>
      </c>
      <c r="B453" s="1">
        <v>1283</v>
      </c>
      <c r="C453" s="2">
        <v>45076</v>
      </c>
      <c r="D453" s="2">
        <v>45082</v>
      </c>
      <c r="E453" s="1" t="s">
        <v>46</v>
      </c>
      <c r="F453" s="1" t="s">
        <v>23</v>
      </c>
      <c r="G453" s="1" t="s">
        <v>24</v>
      </c>
      <c r="H453" s="1" t="s">
        <v>42</v>
      </c>
      <c r="I453" s="1" t="s">
        <v>49</v>
      </c>
      <c r="J453" s="1" t="s">
        <v>68</v>
      </c>
      <c r="K453" s="1" t="s">
        <v>28</v>
      </c>
      <c r="L453" s="1">
        <v>1</v>
      </c>
      <c r="M453" s="1">
        <v>1574.59</v>
      </c>
      <c r="N453" s="1">
        <v>5</v>
      </c>
      <c r="O453" s="1">
        <v>1495.86</v>
      </c>
      <c r="P453" s="9">
        <f t="shared" si="7"/>
        <v>1574.59</v>
      </c>
      <c r="Q453" s="1"/>
      <c r="R453" s="11"/>
      <c r="S453" s="1"/>
      <c r="T453" s="1"/>
      <c r="U453" s="1"/>
    </row>
    <row r="454" spans="1:21" x14ac:dyDescent="0.3">
      <c r="A454" s="5">
        <v>10453</v>
      </c>
      <c r="B454" s="1">
        <v>1878</v>
      </c>
      <c r="C454" s="2">
        <v>45199</v>
      </c>
      <c r="D454" s="2">
        <v>45203</v>
      </c>
      <c r="E454" s="1" t="s">
        <v>22</v>
      </c>
      <c r="F454" s="1" t="s">
        <v>16</v>
      </c>
      <c r="G454" s="1" t="s">
        <v>24</v>
      </c>
      <c r="H454" s="1" t="s">
        <v>42</v>
      </c>
      <c r="I454" s="1" t="s">
        <v>26</v>
      </c>
      <c r="J454" s="1" t="s">
        <v>27</v>
      </c>
      <c r="K454" s="1" t="s">
        <v>47</v>
      </c>
      <c r="L454" s="1">
        <v>6</v>
      </c>
      <c r="M454" s="1">
        <v>2269.3200000000002</v>
      </c>
      <c r="N454" s="1">
        <v>15</v>
      </c>
      <c r="O454" s="1">
        <v>11573.53</v>
      </c>
      <c r="P454" s="9">
        <f t="shared" si="7"/>
        <v>13615.920000000002</v>
      </c>
      <c r="Q454" s="1"/>
      <c r="R454" s="11"/>
      <c r="S454" s="1"/>
      <c r="T454" s="1"/>
      <c r="U454" s="1"/>
    </row>
    <row r="455" spans="1:21" x14ac:dyDescent="0.3">
      <c r="A455" s="5">
        <v>10454</v>
      </c>
      <c r="B455" s="1">
        <v>1959</v>
      </c>
      <c r="C455" s="2">
        <v>45251</v>
      </c>
      <c r="D455" s="2">
        <v>45255</v>
      </c>
      <c r="E455" s="1" t="s">
        <v>34</v>
      </c>
      <c r="F455" s="1" t="s">
        <v>41</v>
      </c>
      <c r="G455" s="1" t="s">
        <v>17</v>
      </c>
      <c r="H455" s="1" t="s">
        <v>25</v>
      </c>
      <c r="I455" s="1" t="s">
        <v>57</v>
      </c>
      <c r="J455" s="1" t="s">
        <v>58</v>
      </c>
      <c r="K455" s="1" t="s">
        <v>28</v>
      </c>
      <c r="L455" s="1">
        <v>9</v>
      </c>
      <c r="M455" s="1">
        <v>3191.56</v>
      </c>
      <c r="N455" s="1">
        <v>20</v>
      </c>
      <c r="O455" s="1">
        <v>22979.23</v>
      </c>
      <c r="P455" s="9">
        <f t="shared" si="7"/>
        <v>28724.04</v>
      </c>
      <c r="Q455" s="1"/>
      <c r="R455" s="11"/>
      <c r="S455" s="1"/>
      <c r="T455" s="1"/>
      <c r="U455" s="1"/>
    </row>
    <row r="456" spans="1:21" x14ac:dyDescent="0.3">
      <c r="A456" s="5">
        <v>10455</v>
      </c>
      <c r="B456" s="1">
        <v>1480</v>
      </c>
      <c r="C456" s="2">
        <v>45034</v>
      </c>
      <c r="D456" s="2">
        <v>45036</v>
      </c>
      <c r="E456" s="1" t="s">
        <v>15</v>
      </c>
      <c r="F456" s="1" t="s">
        <v>29</v>
      </c>
      <c r="G456" s="1" t="s">
        <v>17</v>
      </c>
      <c r="H456" s="1" t="s">
        <v>18</v>
      </c>
      <c r="I456" s="1" t="s">
        <v>52</v>
      </c>
      <c r="J456" s="1" t="s">
        <v>64</v>
      </c>
      <c r="K456" s="1" t="s">
        <v>45</v>
      </c>
      <c r="L456" s="1">
        <v>2</v>
      </c>
      <c r="M456" s="1">
        <v>1374.23</v>
      </c>
      <c r="N456" s="1">
        <v>0</v>
      </c>
      <c r="O456" s="1">
        <v>2748.46</v>
      </c>
      <c r="P456" s="9">
        <f t="shared" si="7"/>
        <v>2748.46</v>
      </c>
      <c r="Q456" s="1"/>
      <c r="R456" s="11"/>
      <c r="S456" s="1"/>
      <c r="T456" s="1"/>
      <c r="U456" s="1"/>
    </row>
    <row r="457" spans="1:21" x14ac:dyDescent="0.3">
      <c r="A457" s="5">
        <v>10456</v>
      </c>
      <c r="B457" s="1">
        <v>1452</v>
      </c>
      <c r="C457" s="2">
        <v>45065</v>
      </c>
      <c r="D457" s="2">
        <v>45067</v>
      </c>
      <c r="E457" s="1" t="s">
        <v>34</v>
      </c>
      <c r="F457" s="1" t="s">
        <v>38</v>
      </c>
      <c r="G457" s="1" t="s">
        <v>24</v>
      </c>
      <c r="H457" s="1" t="s">
        <v>44</v>
      </c>
      <c r="I457" s="1" t="s">
        <v>26</v>
      </c>
      <c r="J457" s="1" t="s">
        <v>27</v>
      </c>
      <c r="K457" s="1" t="s">
        <v>21</v>
      </c>
      <c r="L457" s="1">
        <v>3</v>
      </c>
      <c r="M457" s="1">
        <v>2381.96</v>
      </c>
      <c r="N457" s="1">
        <v>10</v>
      </c>
      <c r="O457" s="1">
        <v>6431.29</v>
      </c>
      <c r="P457" s="9">
        <f t="shared" si="7"/>
        <v>7145.88</v>
      </c>
      <c r="Q457" s="1"/>
      <c r="R457" s="11"/>
      <c r="S457" s="1"/>
      <c r="T457" s="1"/>
      <c r="U457" s="1"/>
    </row>
    <row r="458" spans="1:21" x14ac:dyDescent="0.3">
      <c r="A458" s="5">
        <v>10457</v>
      </c>
      <c r="B458" s="1">
        <v>1828</v>
      </c>
      <c r="C458" s="2">
        <v>45276</v>
      </c>
      <c r="D458" s="2">
        <v>45280</v>
      </c>
      <c r="E458" s="1" t="s">
        <v>46</v>
      </c>
      <c r="F458" s="1" t="s">
        <v>29</v>
      </c>
      <c r="G458" s="1" t="s">
        <v>24</v>
      </c>
      <c r="H458" s="1" t="s">
        <v>44</v>
      </c>
      <c r="I458" s="1" t="s">
        <v>26</v>
      </c>
      <c r="J458" s="1" t="s">
        <v>27</v>
      </c>
      <c r="K458" s="1" t="s">
        <v>28</v>
      </c>
      <c r="L458" s="1">
        <v>5</v>
      </c>
      <c r="M458" s="1">
        <v>1480.66</v>
      </c>
      <c r="N458" s="1">
        <v>0</v>
      </c>
      <c r="O458" s="1">
        <v>7403.3</v>
      </c>
      <c r="P458" s="9">
        <f t="shared" si="7"/>
        <v>7403.3</v>
      </c>
      <c r="Q458" s="1"/>
      <c r="R458" s="11"/>
      <c r="S458" s="1"/>
      <c r="T458" s="1"/>
      <c r="U458" s="1"/>
    </row>
    <row r="459" spans="1:21" x14ac:dyDescent="0.3">
      <c r="A459" s="5">
        <v>10458</v>
      </c>
      <c r="B459" s="1">
        <v>1815</v>
      </c>
      <c r="C459" s="2">
        <v>45197</v>
      </c>
      <c r="D459" s="2">
        <v>45202</v>
      </c>
      <c r="E459" s="1" t="s">
        <v>40</v>
      </c>
      <c r="F459" s="1" t="s">
        <v>38</v>
      </c>
      <c r="G459" s="1" t="s">
        <v>17</v>
      </c>
      <c r="H459" s="1" t="s">
        <v>42</v>
      </c>
      <c r="I459" s="1" t="s">
        <v>19</v>
      </c>
      <c r="J459" s="1" t="s">
        <v>55</v>
      </c>
      <c r="K459" s="1" t="s">
        <v>21</v>
      </c>
      <c r="L459" s="1">
        <v>9</v>
      </c>
      <c r="M459" s="1">
        <v>3290.71</v>
      </c>
      <c r="N459" s="1">
        <v>10</v>
      </c>
      <c r="O459" s="1">
        <v>26654.75</v>
      </c>
      <c r="P459" s="9">
        <f t="shared" si="7"/>
        <v>29616.39</v>
      </c>
      <c r="Q459" s="1"/>
      <c r="R459" s="11"/>
      <c r="S459" s="1"/>
      <c r="T459" s="1"/>
      <c r="U459" s="1"/>
    </row>
    <row r="460" spans="1:21" x14ac:dyDescent="0.3">
      <c r="A460" s="5">
        <v>10459</v>
      </c>
      <c r="B460" s="1">
        <v>1658</v>
      </c>
      <c r="C460" s="2">
        <v>45273</v>
      </c>
      <c r="D460" s="2">
        <v>45281</v>
      </c>
      <c r="E460" s="1" t="s">
        <v>40</v>
      </c>
      <c r="F460" s="1" t="s">
        <v>38</v>
      </c>
      <c r="G460" s="1" t="s">
        <v>30</v>
      </c>
      <c r="H460" s="1" t="s">
        <v>44</v>
      </c>
      <c r="I460" s="1" t="s">
        <v>49</v>
      </c>
      <c r="J460" s="1" t="s">
        <v>63</v>
      </c>
      <c r="K460" s="1" t="s">
        <v>47</v>
      </c>
      <c r="L460" s="1">
        <v>4</v>
      </c>
      <c r="M460" s="1">
        <v>1946.9</v>
      </c>
      <c r="N460" s="1">
        <v>20</v>
      </c>
      <c r="O460" s="1">
        <v>6230.08</v>
      </c>
      <c r="P460" s="9">
        <f t="shared" si="7"/>
        <v>7787.6</v>
      </c>
      <c r="Q460" s="1"/>
      <c r="R460" s="11"/>
      <c r="S460" s="1"/>
      <c r="T460" s="1"/>
      <c r="U460" s="1"/>
    </row>
    <row r="461" spans="1:21" x14ac:dyDescent="0.3">
      <c r="A461" s="5">
        <v>10460</v>
      </c>
      <c r="B461" s="1">
        <v>1515</v>
      </c>
      <c r="C461" s="2">
        <v>45215</v>
      </c>
      <c r="D461" s="2">
        <v>45221</v>
      </c>
      <c r="E461" s="1" t="s">
        <v>22</v>
      </c>
      <c r="F461" s="1" t="s">
        <v>29</v>
      </c>
      <c r="G461" s="1" t="s">
        <v>24</v>
      </c>
      <c r="H461" s="1" t="s">
        <v>25</v>
      </c>
      <c r="I461" s="1" t="s">
        <v>49</v>
      </c>
      <c r="J461" s="1" t="s">
        <v>50</v>
      </c>
      <c r="K461" s="1" t="s">
        <v>21</v>
      </c>
      <c r="L461" s="1">
        <v>1</v>
      </c>
      <c r="M461" s="1">
        <v>445.38</v>
      </c>
      <c r="N461" s="1">
        <v>10</v>
      </c>
      <c r="O461" s="1">
        <v>400.84</v>
      </c>
      <c r="P461" s="9">
        <f t="shared" si="7"/>
        <v>445.38</v>
      </c>
      <c r="Q461" s="1"/>
      <c r="R461" s="11"/>
      <c r="S461" s="1"/>
      <c r="T461" s="1"/>
      <c r="U461" s="1"/>
    </row>
    <row r="462" spans="1:21" x14ac:dyDescent="0.3">
      <c r="A462" s="5">
        <v>10461</v>
      </c>
      <c r="B462" s="1">
        <v>1546</v>
      </c>
      <c r="C462" s="2">
        <v>45138</v>
      </c>
      <c r="D462" s="2">
        <v>45142</v>
      </c>
      <c r="E462" s="1" t="s">
        <v>46</v>
      </c>
      <c r="F462" s="1" t="s">
        <v>38</v>
      </c>
      <c r="G462" s="1" t="s">
        <v>30</v>
      </c>
      <c r="H462" s="1" t="s">
        <v>18</v>
      </c>
      <c r="I462" s="1" t="s">
        <v>52</v>
      </c>
      <c r="J462" s="1" t="s">
        <v>64</v>
      </c>
      <c r="K462" s="1" t="s">
        <v>47</v>
      </c>
      <c r="L462" s="1">
        <v>4</v>
      </c>
      <c r="M462" s="1">
        <v>789.3</v>
      </c>
      <c r="N462" s="1">
        <v>15</v>
      </c>
      <c r="O462" s="1">
        <v>2683.62</v>
      </c>
      <c r="P462" s="9">
        <f t="shared" si="7"/>
        <v>3157.2</v>
      </c>
      <c r="Q462" s="1"/>
      <c r="R462" s="11"/>
      <c r="S462" s="1"/>
      <c r="T462" s="1"/>
      <c r="U462" s="1"/>
    </row>
    <row r="463" spans="1:21" x14ac:dyDescent="0.3">
      <c r="A463" s="5">
        <v>10462</v>
      </c>
      <c r="B463" s="1">
        <v>1191</v>
      </c>
      <c r="C463" s="2">
        <v>45198</v>
      </c>
      <c r="D463" s="2">
        <v>45205</v>
      </c>
      <c r="E463" s="1" t="s">
        <v>15</v>
      </c>
      <c r="F463" s="1" t="s">
        <v>38</v>
      </c>
      <c r="G463" s="1" t="s">
        <v>17</v>
      </c>
      <c r="H463" s="1" t="s">
        <v>25</v>
      </c>
      <c r="I463" s="1" t="s">
        <v>52</v>
      </c>
      <c r="J463" s="1" t="s">
        <v>64</v>
      </c>
      <c r="K463" s="1" t="s">
        <v>45</v>
      </c>
      <c r="L463" s="1">
        <v>6</v>
      </c>
      <c r="M463" s="1">
        <v>385.25</v>
      </c>
      <c r="N463" s="1">
        <v>10</v>
      </c>
      <c r="O463" s="1">
        <v>2080.35</v>
      </c>
      <c r="P463" s="9">
        <f t="shared" si="7"/>
        <v>2311.5</v>
      </c>
      <c r="Q463" s="1"/>
      <c r="R463" s="11"/>
      <c r="S463" s="1"/>
      <c r="T463" s="1"/>
      <c r="U463" s="1"/>
    </row>
    <row r="464" spans="1:21" x14ac:dyDescent="0.3">
      <c r="A464" s="5">
        <v>10463</v>
      </c>
      <c r="B464" s="1">
        <v>1048</v>
      </c>
      <c r="C464" s="2">
        <v>44992</v>
      </c>
      <c r="D464" s="2">
        <v>45000</v>
      </c>
      <c r="E464" s="1" t="s">
        <v>22</v>
      </c>
      <c r="F464" s="1" t="s">
        <v>16</v>
      </c>
      <c r="G464" s="1" t="s">
        <v>24</v>
      </c>
      <c r="H464" s="1" t="s">
        <v>35</v>
      </c>
      <c r="I464" s="1" t="s">
        <v>26</v>
      </c>
      <c r="J464" s="1" t="s">
        <v>36</v>
      </c>
      <c r="K464" s="1" t="s">
        <v>47</v>
      </c>
      <c r="L464" s="1">
        <v>5</v>
      </c>
      <c r="M464" s="1">
        <v>2072.3200000000002</v>
      </c>
      <c r="N464" s="1">
        <v>15</v>
      </c>
      <c r="O464" s="1">
        <v>8807.36</v>
      </c>
      <c r="P464" s="9">
        <f t="shared" si="7"/>
        <v>10361.6</v>
      </c>
      <c r="Q464" s="1"/>
      <c r="R464" s="11"/>
      <c r="S464" s="1"/>
      <c r="T464" s="1"/>
      <c r="U464" s="1"/>
    </row>
    <row r="465" spans="1:21" x14ac:dyDescent="0.3">
      <c r="A465" s="5">
        <v>10464</v>
      </c>
      <c r="B465" s="1">
        <v>1511</v>
      </c>
      <c r="C465" s="2">
        <v>45174</v>
      </c>
      <c r="D465" s="2">
        <v>45176</v>
      </c>
      <c r="E465" s="1" t="s">
        <v>46</v>
      </c>
      <c r="F465" s="1" t="s">
        <v>23</v>
      </c>
      <c r="G465" s="1" t="s">
        <v>30</v>
      </c>
      <c r="H465" s="1" t="s">
        <v>42</v>
      </c>
      <c r="I465" s="1" t="s">
        <v>31</v>
      </c>
      <c r="J465" s="1" t="s">
        <v>65</v>
      </c>
      <c r="K465" s="1" t="s">
        <v>47</v>
      </c>
      <c r="L465" s="1">
        <v>1</v>
      </c>
      <c r="M465" s="1">
        <v>559.4</v>
      </c>
      <c r="N465" s="1">
        <v>20</v>
      </c>
      <c r="O465" s="1">
        <v>447.52</v>
      </c>
      <c r="P465" s="9">
        <f t="shared" si="7"/>
        <v>559.4</v>
      </c>
      <c r="Q465" s="1"/>
      <c r="R465" s="11"/>
      <c r="S465" s="1"/>
      <c r="T465" s="1"/>
      <c r="U465" s="1"/>
    </row>
    <row r="466" spans="1:21" x14ac:dyDescent="0.3">
      <c r="A466" s="5">
        <v>10465</v>
      </c>
      <c r="B466" s="1">
        <v>1016</v>
      </c>
      <c r="C466" s="2">
        <v>45082</v>
      </c>
      <c r="D466" s="2">
        <v>45089</v>
      </c>
      <c r="E466" s="1" t="s">
        <v>37</v>
      </c>
      <c r="F466" s="1" t="s">
        <v>23</v>
      </c>
      <c r="G466" s="1" t="s">
        <v>30</v>
      </c>
      <c r="H466" s="1" t="s">
        <v>44</v>
      </c>
      <c r="I466" s="1" t="s">
        <v>19</v>
      </c>
      <c r="J466" s="1" t="s">
        <v>43</v>
      </c>
      <c r="K466" s="1" t="s">
        <v>33</v>
      </c>
      <c r="L466" s="1">
        <v>4</v>
      </c>
      <c r="M466" s="1">
        <v>589.44000000000005</v>
      </c>
      <c r="N466" s="1">
        <v>20</v>
      </c>
      <c r="O466" s="1">
        <v>1886.21</v>
      </c>
      <c r="P466" s="9">
        <f t="shared" si="7"/>
        <v>2357.7600000000002</v>
      </c>
      <c r="Q466" s="1"/>
      <c r="R466" s="11"/>
      <c r="S466" s="1"/>
      <c r="T466" s="1"/>
      <c r="U466" s="1"/>
    </row>
    <row r="467" spans="1:21" x14ac:dyDescent="0.3">
      <c r="A467" s="5">
        <v>10466</v>
      </c>
      <c r="B467" s="1">
        <v>1171</v>
      </c>
      <c r="C467" s="2">
        <v>44973</v>
      </c>
      <c r="D467" s="2">
        <v>44975</v>
      </c>
      <c r="E467" s="1" t="s">
        <v>16</v>
      </c>
      <c r="F467" s="1" t="s">
        <v>41</v>
      </c>
      <c r="G467" s="1" t="s">
        <v>30</v>
      </c>
      <c r="H467" s="1" t="s">
        <v>35</v>
      </c>
      <c r="I467" s="1" t="s">
        <v>19</v>
      </c>
      <c r="J467" s="1" t="s">
        <v>43</v>
      </c>
      <c r="K467" s="1" t="s">
        <v>28</v>
      </c>
      <c r="L467" s="1">
        <v>6</v>
      </c>
      <c r="M467" s="1">
        <v>3773.04</v>
      </c>
      <c r="N467" s="1">
        <v>0</v>
      </c>
      <c r="O467" s="1">
        <v>22638.240000000002</v>
      </c>
      <c r="P467" s="9">
        <f t="shared" si="7"/>
        <v>22638.239999999998</v>
      </c>
      <c r="Q467" s="1"/>
      <c r="R467" s="11"/>
      <c r="S467" s="1"/>
      <c r="T467" s="1"/>
      <c r="U467" s="1"/>
    </row>
    <row r="468" spans="1:21" x14ac:dyDescent="0.3">
      <c r="A468" s="5">
        <v>10467</v>
      </c>
      <c r="B468" s="1">
        <v>1219</v>
      </c>
      <c r="C468" s="2">
        <v>45127</v>
      </c>
      <c r="D468" s="2">
        <v>45129</v>
      </c>
      <c r="E468" s="1" t="s">
        <v>22</v>
      </c>
      <c r="F468" s="1" t="s">
        <v>41</v>
      </c>
      <c r="G468" s="1" t="s">
        <v>17</v>
      </c>
      <c r="H468" s="1" t="s">
        <v>44</v>
      </c>
      <c r="I468" s="1" t="s">
        <v>26</v>
      </c>
      <c r="J468" s="1" t="s">
        <v>69</v>
      </c>
      <c r="K468" s="1" t="s">
        <v>28</v>
      </c>
      <c r="L468" s="1">
        <v>4</v>
      </c>
      <c r="M468" s="1">
        <v>3509.72</v>
      </c>
      <c r="N468" s="1">
        <v>15</v>
      </c>
      <c r="O468" s="1">
        <v>11933.05</v>
      </c>
      <c r="P468" s="9">
        <f t="shared" si="7"/>
        <v>14038.88</v>
      </c>
      <c r="Q468" s="1"/>
      <c r="R468" s="11"/>
      <c r="S468" s="1"/>
      <c r="T468" s="1"/>
      <c r="U468" s="1"/>
    </row>
    <row r="469" spans="1:21" x14ac:dyDescent="0.3">
      <c r="A469" s="5">
        <v>10468</v>
      </c>
      <c r="B469" s="1">
        <v>1157</v>
      </c>
      <c r="C469" s="2">
        <v>45074</v>
      </c>
      <c r="D469" s="2">
        <v>45082</v>
      </c>
      <c r="E469" s="1" t="s">
        <v>22</v>
      </c>
      <c r="F469" s="1" t="s">
        <v>16</v>
      </c>
      <c r="G469" s="1" t="s">
        <v>17</v>
      </c>
      <c r="H469" s="1" t="s">
        <v>18</v>
      </c>
      <c r="I469" s="1" t="s">
        <v>57</v>
      </c>
      <c r="J469" s="1" t="s">
        <v>59</v>
      </c>
      <c r="K469" s="1" t="s">
        <v>45</v>
      </c>
      <c r="L469" s="1">
        <v>9</v>
      </c>
      <c r="M469" s="1">
        <v>1890.53</v>
      </c>
      <c r="N469" s="1">
        <v>15</v>
      </c>
      <c r="O469" s="1">
        <v>14462.55</v>
      </c>
      <c r="P469" s="9">
        <f t="shared" si="7"/>
        <v>17014.77</v>
      </c>
      <c r="Q469" s="1"/>
      <c r="R469" s="11"/>
      <c r="S469" s="1"/>
      <c r="T469" s="1"/>
      <c r="U469" s="1"/>
    </row>
    <row r="470" spans="1:21" x14ac:dyDescent="0.3">
      <c r="A470" s="5">
        <v>10469</v>
      </c>
      <c r="B470" s="1">
        <v>1476</v>
      </c>
      <c r="C470" s="2">
        <v>45050</v>
      </c>
      <c r="D470" s="2">
        <v>45052</v>
      </c>
      <c r="E470" s="1" t="s">
        <v>15</v>
      </c>
      <c r="F470" s="1" t="s">
        <v>41</v>
      </c>
      <c r="G470" s="1" t="s">
        <v>30</v>
      </c>
      <c r="H470" s="1" t="s">
        <v>18</v>
      </c>
      <c r="I470" s="1" t="s">
        <v>31</v>
      </c>
      <c r="J470" s="1" t="s">
        <v>48</v>
      </c>
      <c r="K470" s="1" t="s">
        <v>45</v>
      </c>
      <c r="L470" s="1">
        <v>5</v>
      </c>
      <c r="M470" s="1">
        <v>3945.35</v>
      </c>
      <c r="N470" s="1">
        <v>5</v>
      </c>
      <c r="O470" s="1">
        <v>18740.41</v>
      </c>
      <c r="P470" s="9">
        <f t="shared" si="7"/>
        <v>19726.75</v>
      </c>
      <c r="Q470" s="1"/>
      <c r="R470" s="11"/>
      <c r="S470" s="1"/>
      <c r="T470" s="1"/>
      <c r="U470" s="1"/>
    </row>
    <row r="471" spans="1:21" x14ac:dyDescent="0.3">
      <c r="A471" s="5">
        <v>10470</v>
      </c>
      <c r="B471" s="1">
        <v>1045</v>
      </c>
      <c r="C471" s="2">
        <v>44927</v>
      </c>
      <c r="D471" s="2">
        <v>44936</v>
      </c>
      <c r="E471" s="1" t="s">
        <v>34</v>
      </c>
      <c r="F471" s="1" t="s">
        <v>29</v>
      </c>
      <c r="G471" s="1" t="s">
        <v>30</v>
      </c>
      <c r="H471" s="1" t="s">
        <v>18</v>
      </c>
      <c r="I471" s="1" t="s">
        <v>26</v>
      </c>
      <c r="J471" s="1" t="s">
        <v>36</v>
      </c>
      <c r="K471" s="1" t="s">
        <v>28</v>
      </c>
      <c r="L471" s="1">
        <v>8</v>
      </c>
      <c r="M471" s="1">
        <v>150.72</v>
      </c>
      <c r="N471" s="1">
        <v>5</v>
      </c>
      <c r="O471" s="1">
        <v>1145.47</v>
      </c>
      <c r="P471" s="9">
        <f t="shared" si="7"/>
        <v>1205.76</v>
      </c>
      <c r="Q471" s="1"/>
      <c r="R471" s="11"/>
      <c r="S471" s="1"/>
      <c r="T471" s="1"/>
      <c r="U471" s="1"/>
    </row>
    <row r="472" spans="1:21" x14ac:dyDescent="0.3">
      <c r="A472" s="5">
        <v>10471</v>
      </c>
      <c r="B472" s="1">
        <v>1372</v>
      </c>
      <c r="C472" s="2">
        <v>45173</v>
      </c>
      <c r="D472" s="2">
        <v>45174</v>
      </c>
      <c r="E472" s="1" t="s">
        <v>37</v>
      </c>
      <c r="F472" s="1" t="s">
        <v>54</v>
      </c>
      <c r="G472" s="1" t="s">
        <v>17</v>
      </c>
      <c r="H472" s="1" t="s">
        <v>44</v>
      </c>
      <c r="I472" s="1" t="s">
        <v>31</v>
      </c>
      <c r="J472" s="1" t="s">
        <v>48</v>
      </c>
      <c r="K472" s="1" t="s">
        <v>33</v>
      </c>
      <c r="L472" s="1">
        <v>9</v>
      </c>
      <c r="M472" s="1">
        <v>2513.8200000000002</v>
      </c>
      <c r="N472" s="1">
        <v>5</v>
      </c>
      <c r="O472" s="1">
        <v>21493.16</v>
      </c>
      <c r="P472" s="9">
        <f t="shared" si="7"/>
        <v>22624.38</v>
      </c>
      <c r="Q472" s="1"/>
      <c r="R472" s="11"/>
      <c r="S472" s="1"/>
      <c r="T472" s="1"/>
      <c r="U472" s="1"/>
    </row>
    <row r="473" spans="1:21" x14ac:dyDescent="0.3">
      <c r="A473" s="5">
        <v>10472</v>
      </c>
      <c r="B473" s="1">
        <v>1517</v>
      </c>
      <c r="C473" s="2">
        <v>45269</v>
      </c>
      <c r="D473" s="2">
        <v>45278</v>
      </c>
      <c r="E473" s="1" t="s">
        <v>15</v>
      </c>
      <c r="F473" s="1" t="s">
        <v>54</v>
      </c>
      <c r="G473" s="1" t="s">
        <v>30</v>
      </c>
      <c r="H473" s="1" t="s">
        <v>35</v>
      </c>
      <c r="I473" s="1" t="s">
        <v>31</v>
      </c>
      <c r="J473" s="1" t="s">
        <v>48</v>
      </c>
      <c r="K473" s="1" t="s">
        <v>28</v>
      </c>
      <c r="L473" s="1">
        <v>5</v>
      </c>
      <c r="M473" s="1">
        <v>2523.25</v>
      </c>
      <c r="N473" s="1">
        <v>10</v>
      </c>
      <c r="O473" s="1">
        <v>11354.63</v>
      </c>
      <c r="P473" s="9">
        <f t="shared" si="7"/>
        <v>12616.25</v>
      </c>
      <c r="Q473" s="1"/>
      <c r="R473" s="11"/>
      <c r="S473" s="1"/>
      <c r="T473" s="1"/>
      <c r="U473" s="1"/>
    </row>
    <row r="474" spans="1:21" x14ac:dyDescent="0.3">
      <c r="A474" s="5">
        <v>10473</v>
      </c>
      <c r="B474" s="1">
        <v>1098</v>
      </c>
      <c r="C474" s="2">
        <v>45054</v>
      </c>
      <c r="D474" s="2">
        <v>45055</v>
      </c>
      <c r="E474" s="1" t="s">
        <v>46</v>
      </c>
      <c r="F474" s="1" t="s">
        <v>54</v>
      </c>
      <c r="G474" s="1" t="s">
        <v>30</v>
      </c>
      <c r="H474" s="1" t="s">
        <v>18</v>
      </c>
      <c r="I474" s="1" t="s">
        <v>31</v>
      </c>
      <c r="J474" s="1" t="s">
        <v>48</v>
      </c>
      <c r="K474" s="1" t="s">
        <v>33</v>
      </c>
      <c r="L474" s="1">
        <v>6</v>
      </c>
      <c r="M474" s="1">
        <v>1911.16</v>
      </c>
      <c r="N474" s="1">
        <v>5</v>
      </c>
      <c r="O474" s="1">
        <v>10893.61</v>
      </c>
      <c r="P474" s="9">
        <f t="shared" si="7"/>
        <v>11466.960000000001</v>
      </c>
      <c r="Q474" s="1"/>
      <c r="R474" s="11"/>
      <c r="S474" s="1"/>
      <c r="T474" s="1"/>
      <c r="U474" s="1"/>
    </row>
    <row r="475" spans="1:21" x14ac:dyDescent="0.3">
      <c r="A475" s="5">
        <v>10474</v>
      </c>
      <c r="B475" s="1">
        <v>1891</v>
      </c>
      <c r="C475" s="2">
        <v>45117</v>
      </c>
      <c r="D475" s="2">
        <v>45119</v>
      </c>
      <c r="E475" s="1" t="s">
        <v>46</v>
      </c>
      <c r="F475" s="1" t="s">
        <v>16</v>
      </c>
      <c r="G475" s="1" t="s">
        <v>17</v>
      </c>
      <c r="H475" s="1" t="s">
        <v>35</v>
      </c>
      <c r="I475" s="1" t="s">
        <v>26</v>
      </c>
      <c r="J475" s="1" t="s">
        <v>27</v>
      </c>
      <c r="K475" s="1" t="s">
        <v>45</v>
      </c>
      <c r="L475" s="1">
        <v>1</v>
      </c>
      <c r="M475" s="1">
        <v>1678.25</v>
      </c>
      <c r="N475" s="1">
        <v>15</v>
      </c>
      <c r="O475" s="1">
        <v>1426.51</v>
      </c>
      <c r="P475" s="9">
        <f t="shared" si="7"/>
        <v>1678.25</v>
      </c>
      <c r="Q475" s="1"/>
      <c r="R475" s="11"/>
      <c r="S475" s="1"/>
      <c r="T475" s="1"/>
      <c r="U475" s="1"/>
    </row>
    <row r="476" spans="1:21" x14ac:dyDescent="0.3">
      <c r="A476" s="5">
        <v>10475</v>
      </c>
      <c r="B476" s="1">
        <v>1744</v>
      </c>
      <c r="C476" s="2">
        <v>44993</v>
      </c>
      <c r="D476" s="2">
        <v>44999</v>
      </c>
      <c r="E476" s="1" t="s">
        <v>46</v>
      </c>
      <c r="F476" s="1" t="s">
        <v>16</v>
      </c>
      <c r="G476" s="1" t="s">
        <v>30</v>
      </c>
      <c r="H476" s="1" t="s">
        <v>44</v>
      </c>
      <c r="I476" s="1" t="s">
        <v>19</v>
      </c>
      <c r="J476" s="1" t="s">
        <v>55</v>
      </c>
      <c r="K476" s="1" t="s">
        <v>21</v>
      </c>
      <c r="L476" s="1">
        <v>7</v>
      </c>
      <c r="M476" s="1">
        <v>1903.23</v>
      </c>
      <c r="N476" s="1">
        <v>10</v>
      </c>
      <c r="O476" s="1">
        <v>11990.35</v>
      </c>
      <c r="P476" s="9">
        <f t="shared" si="7"/>
        <v>13322.61</v>
      </c>
      <c r="Q476" s="1"/>
      <c r="R476" s="11"/>
      <c r="S476" s="1"/>
      <c r="T476" s="1"/>
      <c r="U476" s="1"/>
    </row>
    <row r="477" spans="1:21" x14ac:dyDescent="0.3">
      <c r="A477" s="5">
        <v>10476</v>
      </c>
      <c r="B477" s="1">
        <v>1036</v>
      </c>
      <c r="C477" s="2">
        <v>44930</v>
      </c>
      <c r="D477" s="2">
        <v>44936</v>
      </c>
      <c r="E477" s="1" t="s">
        <v>46</v>
      </c>
      <c r="F477" s="1" t="s">
        <v>38</v>
      </c>
      <c r="G477" s="1" t="s">
        <v>30</v>
      </c>
      <c r="H477" s="1" t="s">
        <v>35</v>
      </c>
      <c r="I477" s="1" t="s">
        <v>19</v>
      </c>
      <c r="J477" s="1" t="s">
        <v>20</v>
      </c>
      <c r="K477" s="1" t="s">
        <v>45</v>
      </c>
      <c r="L477" s="1">
        <v>4</v>
      </c>
      <c r="M477" s="1">
        <v>1747.6</v>
      </c>
      <c r="N477" s="1">
        <v>20</v>
      </c>
      <c r="O477" s="1">
        <v>5592.32</v>
      </c>
      <c r="P477" s="9">
        <f t="shared" si="7"/>
        <v>6990.4</v>
      </c>
      <c r="Q477" s="1"/>
      <c r="R477" s="11"/>
      <c r="S477" s="1"/>
      <c r="T477" s="1"/>
      <c r="U477" s="1"/>
    </row>
    <row r="478" spans="1:21" x14ac:dyDescent="0.3">
      <c r="A478" s="5">
        <v>10477</v>
      </c>
      <c r="B478" s="1">
        <v>1279</v>
      </c>
      <c r="C478" s="2">
        <v>45229</v>
      </c>
      <c r="D478" s="2">
        <v>45230</v>
      </c>
      <c r="E478" s="1" t="s">
        <v>34</v>
      </c>
      <c r="F478" s="1" t="s">
        <v>54</v>
      </c>
      <c r="G478" s="1" t="s">
        <v>30</v>
      </c>
      <c r="H478" s="1" t="s">
        <v>44</v>
      </c>
      <c r="I478" s="1" t="s">
        <v>31</v>
      </c>
      <c r="J478" s="1" t="s">
        <v>48</v>
      </c>
      <c r="K478" s="1" t="s">
        <v>45</v>
      </c>
      <c r="L478" s="1">
        <v>2</v>
      </c>
      <c r="M478" s="1">
        <v>2962.4</v>
      </c>
      <c r="N478" s="1">
        <v>0</v>
      </c>
      <c r="O478" s="1">
        <v>5924.8</v>
      </c>
      <c r="P478" s="9">
        <f t="shared" si="7"/>
        <v>5924.8</v>
      </c>
      <c r="Q478" s="1"/>
      <c r="R478" s="11"/>
      <c r="S478" s="1"/>
      <c r="T478" s="1"/>
      <c r="U478" s="1"/>
    </row>
    <row r="479" spans="1:21" x14ac:dyDescent="0.3">
      <c r="A479" s="5">
        <v>10478</v>
      </c>
      <c r="B479" s="1">
        <v>1348</v>
      </c>
      <c r="C479" s="2">
        <v>45220</v>
      </c>
      <c r="D479" s="2">
        <v>45227</v>
      </c>
      <c r="E479" s="1" t="s">
        <v>37</v>
      </c>
      <c r="F479" s="1" t="s">
        <v>29</v>
      </c>
      <c r="G479" s="1" t="s">
        <v>17</v>
      </c>
      <c r="H479" s="1" t="s">
        <v>44</v>
      </c>
      <c r="I479" s="1" t="s">
        <v>57</v>
      </c>
      <c r="J479" s="1" t="s">
        <v>62</v>
      </c>
      <c r="K479" s="1" t="s">
        <v>47</v>
      </c>
      <c r="L479" s="1">
        <v>5</v>
      </c>
      <c r="M479" s="1">
        <v>671.12</v>
      </c>
      <c r="N479" s="1">
        <v>5</v>
      </c>
      <c r="O479" s="1">
        <v>3187.82</v>
      </c>
      <c r="P479" s="9">
        <f t="shared" si="7"/>
        <v>3355.6</v>
      </c>
      <c r="Q479" s="1"/>
      <c r="R479" s="11"/>
      <c r="S479" s="1"/>
      <c r="T479" s="1"/>
      <c r="U479" s="1"/>
    </row>
    <row r="480" spans="1:21" x14ac:dyDescent="0.3">
      <c r="A480" s="5">
        <v>10479</v>
      </c>
      <c r="B480" s="1">
        <v>1496</v>
      </c>
      <c r="C480" s="2">
        <v>45069</v>
      </c>
      <c r="D480" s="2">
        <v>45077</v>
      </c>
      <c r="E480" s="1" t="s">
        <v>40</v>
      </c>
      <c r="F480" s="1" t="s">
        <v>41</v>
      </c>
      <c r="G480" s="1" t="s">
        <v>30</v>
      </c>
      <c r="H480" s="1" t="s">
        <v>42</v>
      </c>
      <c r="I480" s="1" t="s">
        <v>49</v>
      </c>
      <c r="J480" s="1" t="s">
        <v>68</v>
      </c>
      <c r="K480" s="1" t="s">
        <v>47</v>
      </c>
      <c r="L480" s="1">
        <v>3</v>
      </c>
      <c r="M480" s="1">
        <v>910.91</v>
      </c>
      <c r="N480" s="1">
        <v>20</v>
      </c>
      <c r="O480" s="1">
        <v>2186.1799999999998</v>
      </c>
      <c r="P480" s="9">
        <f t="shared" si="7"/>
        <v>2732.73</v>
      </c>
      <c r="Q480" s="1"/>
      <c r="R480" s="11"/>
      <c r="S480" s="1"/>
      <c r="T480" s="1"/>
      <c r="U480" s="1"/>
    </row>
    <row r="481" spans="1:21" x14ac:dyDescent="0.3">
      <c r="A481" s="5">
        <v>10480</v>
      </c>
      <c r="B481" s="1">
        <v>1301</v>
      </c>
      <c r="C481" s="2">
        <v>45117</v>
      </c>
      <c r="D481" s="2">
        <v>45119</v>
      </c>
      <c r="E481" s="1" t="s">
        <v>16</v>
      </c>
      <c r="F481" s="1" t="s">
        <v>29</v>
      </c>
      <c r="G481" s="1" t="s">
        <v>17</v>
      </c>
      <c r="H481" s="1" t="s">
        <v>44</v>
      </c>
      <c r="I481" s="1" t="s">
        <v>26</v>
      </c>
      <c r="J481" s="1" t="s">
        <v>36</v>
      </c>
      <c r="K481" s="1" t="s">
        <v>47</v>
      </c>
      <c r="L481" s="1">
        <v>6</v>
      </c>
      <c r="M481" s="1">
        <v>845</v>
      </c>
      <c r="N481" s="1">
        <v>15</v>
      </c>
      <c r="O481" s="1">
        <v>4309.5</v>
      </c>
      <c r="P481" s="9">
        <f t="shared" si="7"/>
        <v>5070</v>
      </c>
      <c r="Q481" s="1"/>
      <c r="R481" s="11"/>
      <c r="S481" s="1"/>
      <c r="T481" s="1"/>
      <c r="U481" s="1"/>
    </row>
    <row r="482" spans="1:21" x14ac:dyDescent="0.3">
      <c r="A482" s="5">
        <v>10481</v>
      </c>
      <c r="B482" s="1">
        <v>1180</v>
      </c>
      <c r="C482" s="2">
        <v>44947</v>
      </c>
      <c r="D482" s="2">
        <v>44955</v>
      </c>
      <c r="E482" s="1" t="s">
        <v>34</v>
      </c>
      <c r="F482" s="1" t="s">
        <v>41</v>
      </c>
      <c r="G482" s="1" t="s">
        <v>17</v>
      </c>
      <c r="H482" s="1" t="s">
        <v>44</v>
      </c>
      <c r="I482" s="1" t="s">
        <v>49</v>
      </c>
      <c r="J482" s="1" t="s">
        <v>50</v>
      </c>
      <c r="K482" s="1" t="s">
        <v>47</v>
      </c>
      <c r="L482" s="1">
        <v>8</v>
      </c>
      <c r="M482" s="1">
        <v>1160.51</v>
      </c>
      <c r="N482" s="1">
        <v>0</v>
      </c>
      <c r="O482" s="1">
        <v>9284.08</v>
      </c>
      <c r="P482" s="9">
        <f t="shared" si="7"/>
        <v>9284.08</v>
      </c>
      <c r="Q482" s="1"/>
      <c r="R482" s="11"/>
      <c r="S482" s="1"/>
      <c r="T482" s="1"/>
      <c r="U482" s="1"/>
    </row>
    <row r="483" spans="1:21" x14ac:dyDescent="0.3">
      <c r="A483" s="5">
        <v>10482</v>
      </c>
      <c r="B483" s="1">
        <v>1606</v>
      </c>
      <c r="C483" s="2">
        <v>45153</v>
      </c>
      <c r="D483" s="2">
        <v>45162</v>
      </c>
      <c r="E483" s="1" t="s">
        <v>34</v>
      </c>
      <c r="F483" s="1" t="s">
        <v>54</v>
      </c>
      <c r="G483" s="1" t="s">
        <v>24</v>
      </c>
      <c r="H483" s="1" t="s">
        <v>25</v>
      </c>
      <c r="I483" s="1" t="s">
        <v>57</v>
      </c>
      <c r="J483" s="1" t="s">
        <v>67</v>
      </c>
      <c r="K483" s="1" t="s">
        <v>33</v>
      </c>
      <c r="L483" s="1">
        <v>7</v>
      </c>
      <c r="M483" s="1">
        <v>2172.2399999999998</v>
      </c>
      <c r="N483" s="1">
        <v>20</v>
      </c>
      <c r="O483" s="1">
        <v>12164.54</v>
      </c>
      <c r="P483" s="9">
        <f t="shared" si="7"/>
        <v>15205.679999999998</v>
      </c>
      <c r="Q483" s="1"/>
      <c r="R483" s="11"/>
      <c r="S483" s="1"/>
      <c r="T483" s="1"/>
      <c r="U483" s="1"/>
    </row>
    <row r="484" spans="1:21" x14ac:dyDescent="0.3">
      <c r="A484" s="5">
        <v>10483</v>
      </c>
      <c r="B484" s="1">
        <v>1098</v>
      </c>
      <c r="C484" s="2">
        <v>45239</v>
      </c>
      <c r="D484" s="2">
        <v>45245</v>
      </c>
      <c r="E484" s="1" t="s">
        <v>40</v>
      </c>
      <c r="F484" s="1" t="s">
        <v>54</v>
      </c>
      <c r="G484" s="1" t="s">
        <v>24</v>
      </c>
      <c r="H484" s="1" t="s">
        <v>18</v>
      </c>
      <c r="I484" s="1" t="s">
        <v>26</v>
      </c>
      <c r="J484" s="1" t="s">
        <v>61</v>
      </c>
      <c r="K484" s="1" t="s">
        <v>28</v>
      </c>
      <c r="L484" s="1">
        <v>3</v>
      </c>
      <c r="M484" s="1">
        <v>578.15</v>
      </c>
      <c r="N484" s="1">
        <v>0</v>
      </c>
      <c r="O484" s="1">
        <v>1734.45</v>
      </c>
      <c r="P484" s="9">
        <f t="shared" si="7"/>
        <v>1734.4499999999998</v>
      </c>
      <c r="Q484" s="1"/>
      <c r="R484" s="11"/>
      <c r="S484" s="1"/>
      <c r="T484" s="1"/>
      <c r="U484" s="1"/>
    </row>
    <row r="485" spans="1:21" x14ac:dyDescent="0.3">
      <c r="A485" s="5">
        <v>10484</v>
      </c>
      <c r="B485" s="1">
        <v>1699</v>
      </c>
      <c r="C485" s="2">
        <v>45043</v>
      </c>
      <c r="D485" s="2">
        <v>45048</v>
      </c>
      <c r="E485" s="1" t="s">
        <v>40</v>
      </c>
      <c r="F485" s="1" t="s">
        <v>54</v>
      </c>
      <c r="G485" s="1" t="s">
        <v>30</v>
      </c>
      <c r="H485" s="1" t="s">
        <v>42</v>
      </c>
      <c r="I485" s="1" t="s">
        <v>31</v>
      </c>
      <c r="J485" s="1" t="s">
        <v>65</v>
      </c>
      <c r="K485" s="1" t="s">
        <v>21</v>
      </c>
      <c r="L485" s="1">
        <v>8</v>
      </c>
      <c r="M485" s="1">
        <v>3492.45</v>
      </c>
      <c r="N485" s="1">
        <v>5</v>
      </c>
      <c r="O485" s="1">
        <v>26542.62</v>
      </c>
      <c r="P485" s="9">
        <f t="shared" si="7"/>
        <v>27939.599999999999</v>
      </c>
      <c r="Q485" s="1"/>
      <c r="R485" s="11"/>
      <c r="S485" s="1"/>
      <c r="T485" s="1"/>
      <c r="U485" s="1"/>
    </row>
    <row r="486" spans="1:21" x14ac:dyDescent="0.3">
      <c r="A486" s="5">
        <v>10485</v>
      </c>
      <c r="B486" s="1">
        <v>1992</v>
      </c>
      <c r="C486" s="2">
        <v>45228</v>
      </c>
      <c r="D486" s="2">
        <v>45237</v>
      </c>
      <c r="E486" s="1" t="s">
        <v>16</v>
      </c>
      <c r="F486" s="1" t="s">
        <v>16</v>
      </c>
      <c r="G486" s="1" t="s">
        <v>17</v>
      </c>
      <c r="H486" s="1" t="s">
        <v>42</v>
      </c>
      <c r="I486" s="1" t="s">
        <v>19</v>
      </c>
      <c r="J486" s="1" t="s">
        <v>43</v>
      </c>
      <c r="K486" s="1" t="s">
        <v>45</v>
      </c>
      <c r="L486" s="1">
        <v>2</v>
      </c>
      <c r="M486" s="1">
        <v>1294.8399999999999</v>
      </c>
      <c r="N486" s="1">
        <v>15</v>
      </c>
      <c r="O486" s="1">
        <v>2201.23</v>
      </c>
      <c r="P486" s="9">
        <f t="shared" si="7"/>
        <v>2589.6799999999998</v>
      </c>
      <c r="Q486" s="1"/>
      <c r="R486" s="11"/>
      <c r="S486" s="1"/>
      <c r="T486" s="1"/>
      <c r="U486" s="1"/>
    </row>
    <row r="487" spans="1:21" x14ac:dyDescent="0.3">
      <c r="A487" s="5">
        <v>10486</v>
      </c>
      <c r="B487" s="1">
        <v>1115</v>
      </c>
      <c r="C487" s="2">
        <v>45068</v>
      </c>
      <c r="D487" s="2">
        <v>45077</v>
      </c>
      <c r="E487" s="1" t="s">
        <v>16</v>
      </c>
      <c r="F487" s="1" t="s">
        <v>41</v>
      </c>
      <c r="G487" s="1" t="s">
        <v>24</v>
      </c>
      <c r="H487" s="1" t="s">
        <v>42</v>
      </c>
      <c r="I487" s="1" t="s">
        <v>49</v>
      </c>
      <c r="J487" s="1" t="s">
        <v>63</v>
      </c>
      <c r="K487" s="1" t="s">
        <v>33</v>
      </c>
      <c r="L487" s="1">
        <v>9</v>
      </c>
      <c r="M487" s="1">
        <v>775.77</v>
      </c>
      <c r="N487" s="1">
        <v>0</v>
      </c>
      <c r="O487" s="1">
        <v>6981.93</v>
      </c>
      <c r="P487" s="9">
        <f t="shared" si="7"/>
        <v>6981.93</v>
      </c>
      <c r="Q487" s="1"/>
      <c r="R487" s="11"/>
      <c r="S487" s="1"/>
      <c r="T487" s="1"/>
      <c r="U487" s="1"/>
    </row>
    <row r="488" spans="1:21" x14ac:dyDescent="0.3">
      <c r="A488" s="5">
        <v>10487</v>
      </c>
      <c r="B488" s="1">
        <v>1190</v>
      </c>
      <c r="C488" s="2">
        <v>44965</v>
      </c>
      <c r="D488" s="2">
        <v>44966</v>
      </c>
      <c r="E488" s="1" t="s">
        <v>40</v>
      </c>
      <c r="F488" s="1" t="s">
        <v>16</v>
      </c>
      <c r="G488" s="1" t="s">
        <v>30</v>
      </c>
      <c r="H488" s="1" t="s">
        <v>25</v>
      </c>
      <c r="I488" s="1" t="s">
        <v>52</v>
      </c>
      <c r="J488" s="1" t="s">
        <v>53</v>
      </c>
      <c r="K488" s="1" t="s">
        <v>21</v>
      </c>
      <c r="L488" s="1">
        <v>4</v>
      </c>
      <c r="M488" s="1">
        <v>2751.14</v>
      </c>
      <c r="N488" s="1">
        <v>20</v>
      </c>
      <c r="O488" s="1">
        <v>8803.65</v>
      </c>
      <c r="P488" s="9">
        <f t="shared" si="7"/>
        <v>11004.56</v>
      </c>
      <c r="Q488" s="1"/>
      <c r="R488" s="11"/>
      <c r="S488" s="1"/>
      <c r="T488" s="1"/>
      <c r="U488" s="1"/>
    </row>
    <row r="489" spans="1:21" x14ac:dyDescent="0.3">
      <c r="A489" s="5">
        <v>10488</v>
      </c>
      <c r="B489" s="1">
        <v>1252</v>
      </c>
      <c r="C489" s="2">
        <v>45281</v>
      </c>
      <c r="D489" s="2">
        <v>45284</v>
      </c>
      <c r="E489" s="1" t="s">
        <v>46</v>
      </c>
      <c r="F489" s="1" t="s">
        <v>16</v>
      </c>
      <c r="G489" s="1" t="s">
        <v>24</v>
      </c>
      <c r="H489" s="1" t="s">
        <v>44</v>
      </c>
      <c r="I489" s="1" t="s">
        <v>52</v>
      </c>
      <c r="J489" s="1" t="s">
        <v>60</v>
      </c>
      <c r="K489" s="1" t="s">
        <v>33</v>
      </c>
      <c r="L489" s="1">
        <v>1</v>
      </c>
      <c r="M489" s="1">
        <v>296.63</v>
      </c>
      <c r="N489" s="1">
        <v>5</v>
      </c>
      <c r="O489" s="1">
        <v>281.8</v>
      </c>
      <c r="P489" s="9">
        <f t="shared" si="7"/>
        <v>296.63</v>
      </c>
      <c r="Q489" s="1"/>
      <c r="R489" s="11"/>
      <c r="S489" s="1"/>
      <c r="T489" s="1"/>
      <c r="U489" s="1"/>
    </row>
    <row r="490" spans="1:21" x14ac:dyDescent="0.3">
      <c r="A490" s="5">
        <v>10489</v>
      </c>
      <c r="B490" s="1">
        <v>1980</v>
      </c>
      <c r="C490" s="2">
        <v>45178</v>
      </c>
      <c r="D490" s="2">
        <v>45187</v>
      </c>
      <c r="E490" s="1" t="s">
        <v>34</v>
      </c>
      <c r="F490" s="1" t="s">
        <v>23</v>
      </c>
      <c r="G490" s="1" t="s">
        <v>24</v>
      </c>
      <c r="H490" s="1" t="s">
        <v>18</v>
      </c>
      <c r="I490" s="1" t="s">
        <v>57</v>
      </c>
      <c r="J490" s="1" t="s">
        <v>62</v>
      </c>
      <c r="K490" s="1" t="s">
        <v>33</v>
      </c>
      <c r="L490" s="1">
        <v>8</v>
      </c>
      <c r="M490" s="1">
        <v>2536.88</v>
      </c>
      <c r="N490" s="1">
        <v>5</v>
      </c>
      <c r="O490" s="1">
        <v>19280.29</v>
      </c>
      <c r="P490" s="9">
        <f t="shared" si="7"/>
        <v>20295.04</v>
      </c>
      <c r="Q490" s="1"/>
      <c r="R490" s="11"/>
      <c r="S490" s="1"/>
      <c r="T490" s="1"/>
      <c r="U490" s="1"/>
    </row>
    <row r="491" spans="1:21" x14ac:dyDescent="0.3">
      <c r="A491" s="5">
        <v>10490</v>
      </c>
      <c r="B491" s="1">
        <v>1927</v>
      </c>
      <c r="C491" s="2">
        <v>45259</v>
      </c>
      <c r="D491" s="2">
        <v>45261</v>
      </c>
      <c r="E491" s="1" t="s">
        <v>15</v>
      </c>
      <c r="F491" s="1" t="s">
        <v>29</v>
      </c>
      <c r="G491" s="1" t="s">
        <v>17</v>
      </c>
      <c r="H491" s="1" t="s">
        <v>35</v>
      </c>
      <c r="I491" s="1" t="s">
        <v>31</v>
      </c>
      <c r="J491" s="1" t="s">
        <v>32</v>
      </c>
      <c r="K491" s="1" t="s">
        <v>45</v>
      </c>
      <c r="L491" s="1">
        <v>7</v>
      </c>
      <c r="M491" s="1">
        <v>2838.06</v>
      </c>
      <c r="N491" s="1">
        <v>20</v>
      </c>
      <c r="O491" s="1">
        <v>15893.14</v>
      </c>
      <c r="P491" s="9">
        <f t="shared" si="7"/>
        <v>19866.419999999998</v>
      </c>
      <c r="Q491" s="1"/>
      <c r="R491" s="11"/>
      <c r="S491" s="1"/>
      <c r="T491" s="1"/>
      <c r="U491" s="1"/>
    </row>
    <row r="492" spans="1:21" x14ac:dyDescent="0.3">
      <c r="A492" s="5">
        <v>10491</v>
      </c>
      <c r="B492" s="1">
        <v>1982</v>
      </c>
      <c r="C492" s="2">
        <v>45133</v>
      </c>
      <c r="D492" s="2">
        <v>45137</v>
      </c>
      <c r="E492" s="1" t="s">
        <v>16</v>
      </c>
      <c r="F492" s="1" t="s">
        <v>29</v>
      </c>
      <c r="G492" s="1" t="s">
        <v>17</v>
      </c>
      <c r="H492" s="1" t="s">
        <v>44</v>
      </c>
      <c r="I492" s="1" t="s">
        <v>49</v>
      </c>
      <c r="J492" s="1" t="s">
        <v>63</v>
      </c>
      <c r="K492" s="1" t="s">
        <v>28</v>
      </c>
      <c r="L492" s="1">
        <v>5</v>
      </c>
      <c r="M492" s="1">
        <v>977.43</v>
      </c>
      <c r="N492" s="1">
        <v>20</v>
      </c>
      <c r="O492" s="1">
        <v>3909.72</v>
      </c>
      <c r="P492" s="9">
        <f t="shared" si="7"/>
        <v>4887.1499999999996</v>
      </c>
      <c r="Q492" s="1"/>
      <c r="R492" s="11"/>
      <c r="S492" s="1"/>
      <c r="T492" s="1"/>
      <c r="U492" s="1"/>
    </row>
    <row r="493" spans="1:21" x14ac:dyDescent="0.3">
      <c r="A493" s="5">
        <v>10492</v>
      </c>
      <c r="B493" s="1">
        <v>1160</v>
      </c>
      <c r="C493" s="2">
        <v>45136</v>
      </c>
      <c r="D493" s="2">
        <v>45140</v>
      </c>
      <c r="E493" s="1" t="s">
        <v>16</v>
      </c>
      <c r="F493" s="1" t="s">
        <v>38</v>
      </c>
      <c r="G493" s="1" t="s">
        <v>24</v>
      </c>
      <c r="H493" s="1" t="s">
        <v>25</v>
      </c>
      <c r="I493" s="1" t="s">
        <v>31</v>
      </c>
      <c r="J493" s="1" t="s">
        <v>32</v>
      </c>
      <c r="K493" s="1" t="s">
        <v>47</v>
      </c>
      <c r="L493" s="1">
        <v>5</v>
      </c>
      <c r="M493" s="1">
        <v>311.56</v>
      </c>
      <c r="N493" s="1">
        <v>0</v>
      </c>
      <c r="O493" s="1">
        <v>1557.8</v>
      </c>
      <c r="P493" s="9">
        <f t="shared" si="7"/>
        <v>1557.8</v>
      </c>
      <c r="Q493" s="1"/>
      <c r="R493" s="11"/>
      <c r="S493" s="1"/>
      <c r="T493" s="1"/>
      <c r="U493" s="1"/>
    </row>
    <row r="494" spans="1:21" x14ac:dyDescent="0.3">
      <c r="A494" s="5">
        <v>10493</v>
      </c>
      <c r="B494" s="1">
        <v>1255</v>
      </c>
      <c r="C494" s="2">
        <v>45041</v>
      </c>
      <c r="D494" s="2">
        <v>45043</v>
      </c>
      <c r="E494" s="1" t="s">
        <v>40</v>
      </c>
      <c r="F494" s="1" t="s">
        <v>16</v>
      </c>
      <c r="G494" s="1" t="s">
        <v>24</v>
      </c>
      <c r="H494" s="1" t="s">
        <v>44</v>
      </c>
      <c r="I494" s="1" t="s">
        <v>49</v>
      </c>
      <c r="J494" s="1" t="s">
        <v>68</v>
      </c>
      <c r="K494" s="1" t="s">
        <v>28</v>
      </c>
      <c r="L494" s="1">
        <v>7</v>
      </c>
      <c r="M494" s="1">
        <v>1550.03</v>
      </c>
      <c r="N494" s="1">
        <v>10</v>
      </c>
      <c r="O494" s="1">
        <v>9765.19</v>
      </c>
      <c r="P494" s="9">
        <f t="shared" si="7"/>
        <v>10850.21</v>
      </c>
      <c r="Q494" s="1"/>
      <c r="R494" s="11"/>
      <c r="S494" s="1"/>
      <c r="T494" s="1"/>
      <c r="U494" s="1"/>
    </row>
    <row r="495" spans="1:21" x14ac:dyDescent="0.3">
      <c r="A495" s="5">
        <v>10494</v>
      </c>
      <c r="B495" s="1">
        <v>1322</v>
      </c>
      <c r="C495" s="2">
        <v>45151</v>
      </c>
      <c r="D495" s="2">
        <v>45154</v>
      </c>
      <c r="E495" s="1" t="s">
        <v>37</v>
      </c>
      <c r="F495" s="1" t="s">
        <v>41</v>
      </c>
      <c r="G495" s="1" t="s">
        <v>17</v>
      </c>
      <c r="H495" s="1" t="s">
        <v>44</v>
      </c>
      <c r="I495" s="1" t="s">
        <v>57</v>
      </c>
      <c r="J495" s="1" t="s">
        <v>67</v>
      </c>
      <c r="K495" s="1" t="s">
        <v>45</v>
      </c>
      <c r="L495" s="1">
        <v>5</v>
      </c>
      <c r="M495" s="1">
        <v>529.59</v>
      </c>
      <c r="N495" s="1">
        <v>5</v>
      </c>
      <c r="O495" s="1">
        <v>2515.5500000000002</v>
      </c>
      <c r="P495" s="9">
        <f t="shared" si="7"/>
        <v>2647.9500000000003</v>
      </c>
      <c r="Q495" s="1"/>
      <c r="R495" s="11"/>
      <c r="S495" s="1"/>
      <c r="T495" s="1"/>
      <c r="U495" s="1"/>
    </row>
    <row r="496" spans="1:21" x14ac:dyDescent="0.3">
      <c r="A496" s="5">
        <v>10495</v>
      </c>
      <c r="B496" s="1">
        <v>1127</v>
      </c>
      <c r="C496" s="2">
        <v>45060</v>
      </c>
      <c r="D496" s="2">
        <v>45063</v>
      </c>
      <c r="E496" s="1" t="s">
        <v>15</v>
      </c>
      <c r="F496" s="1" t="s">
        <v>23</v>
      </c>
      <c r="G496" s="1" t="s">
        <v>30</v>
      </c>
      <c r="H496" s="1" t="s">
        <v>25</v>
      </c>
      <c r="I496" s="1" t="s">
        <v>57</v>
      </c>
      <c r="J496" s="1" t="s">
        <v>59</v>
      </c>
      <c r="K496" s="1" t="s">
        <v>45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9">
        <f t="shared" si="7"/>
        <v>4787.5200000000004</v>
      </c>
      <c r="Q496" s="1"/>
      <c r="R496" s="11"/>
      <c r="S496" s="1"/>
      <c r="T496" s="1"/>
      <c r="U496" s="1"/>
    </row>
    <row r="497" spans="1:21" x14ac:dyDescent="0.3">
      <c r="A497" s="5">
        <v>10496</v>
      </c>
      <c r="B497" s="1">
        <v>1017</v>
      </c>
      <c r="C497" s="2">
        <v>45177</v>
      </c>
      <c r="D497" s="2">
        <v>45178</v>
      </c>
      <c r="E497" s="1" t="s">
        <v>15</v>
      </c>
      <c r="F497" s="1" t="s">
        <v>23</v>
      </c>
      <c r="G497" s="1" t="s">
        <v>17</v>
      </c>
      <c r="H497" s="1" t="s">
        <v>42</v>
      </c>
      <c r="I497" s="1" t="s">
        <v>52</v>
      </c>
      <c r="J497" s="1" t="s">
        <v>60</v>
      </c>
      <c r="K497" s="1" t="s">
        <v>45</v>
      </c>
      <c r="L497" s="1">
        <v>6</v>
      </c>
      <c r="M497" s="1">
        <v>1128.9100000000001</v>
      </c>
      <c r="N497" s="1">
        <v>20</v>
      </c>
      <c r="O497" s="1">
        <v>5418.77</v>
      </c>
      <c r="P497" s="9">
        <f t="shared" si="7"/>
        <v>6773.4600000000009</v>
      </c>
      <c r="Q497" s="1"/>
      <c r="R497" s="11"/>
      <c r="S497" s="1"/>
      <c r="T497" s="1"/>
      <c r="U497" s="1"/>
    </row>
    <row r="498" spans="1:21" x14ac:dyDescent="0.3">
      <c r="A498" s="5">
        <v>10497</v>
      </c>
      <c r="B498" s="1">
        <v>1792</v>
      </c>
      <c r="C498" s="2">
        <v>45145</v>
      </c>
      <c r="D498" s="2">
        <v>45151</v>
      </c>
      <c r="E498" s="1" t="s">
        <v>16</v>
      </c>
      <c r="F498" s="1" t="s">
        <v>29</v>
      </c>
      <c r="G498" s="1" t="s">
        <v>24</v>
      </c>
      <c r="H498" s="1" t="s">
        <v>42</v>
      </c>
      <c r="I498" s="1" t="s">
        <v>31</v>
      </c>
      <c r="J498" s="1" t="s">
        <v>39</v>
      </c>
      <c r="K498" s="1" t="s">
        <v>21</v>
      </c>
      <c r="L498" s="1">
        <v>5</v>
      </c>
      <c r="M498" s="1">
        <v>1287.55</v>
      </c>
      <c r="N498" s="1">
        <v>0</v>
      </c>
      <c r="O498" s="1">
        <v>6437.75</v>
      </c>
      <c r="P498" s="9">
        <f t="shared" si="7"/>
        <v>6437.75</v>
      </c>
      <c r="Q498" s="1"/>
      <c r="R498" s="11"/>
      <c r="S498" s="1"/>
      <c r="T498" s="1"/>
      <c r="U498" s="1"/>
    </row>
    <row r="499" spans="1:21" x14ac:dyDescent="0.3">
      <c r="A499" s="5">
        <v>10498</v>
      </c>
      <c r="B499" s="1">
        <v>1734</v>
      </c>
      <c r="C499" s="2">
        <v>45017</v>
      </c>
      <c r="D499" s="2">
        <v>45025</v>
      </c>
      <c r="E499" s="1" t="s">
        <v>46</v>
      </c>
      <c r="F499" s="1" t="s">
        <v>16</v>
      </c>
      <c r="G499" s="1" t="s">
        <v>30</v>
      </c>
      <c r="H499" s="1" t="s">
        <v>18</v>
      </c>
      <c r="I499" s="1" t="s">
        <v>26</v>
      </c>
      <c r="J499" s="1" t="s">
        <v>36</v>
      </c>
      <c r="K499" s="1" t="s">
        <v>28</v>
      </c>
      <c r="L499" s="1">
        <v>9</v>
      </c>
      <c r="M499" s="1">
        <v>2190.39</v>
      </c>
      <c r="N499" s="1">
        <v>20</v>
      </c>
      <c r="O499" s="1">
        <v>15770.81</v>
      </c>
      <c r="P499" s="9">
        <f t="shared" si="7"/>
        <v>19713.509999999998</v>
      </c>
      <c r="Q499" s="1"/>
      <c r="R499" s="11"/>
      <c r="S499" s="1"/>
      <c r="T499" s="1"/>
      <c r="U499" s="1"/>
    </row>
    <row r="500" spans="1:21" x14ac:dyDescent="0.3">
      <c r="A500" s="5">
        <v>10499</v>
      </c>
      <c r="B500" s="1">
        <v>1565</v>
      </c>
      <c r="C500" s="2">
        <v>45280</v>
      </c>
      <c r="D500" s="2">
        <v>45283</v>
      </c>
      <c r="E500" s="1" t="s">
        <v>37</v>
      </c>
      <c r="F500" s="1" t="s">
        <v>38</v>
      </c>
      <c r="G500" s="1" t="s">
        <v>24</v>
      </c>
      <c r="H500" s="1" t="s">
        <v>18</v>
      </c>
      <c r="I500" s="1" t="s">
        <v>52</v>
      </c>
      <c r="J500" s="1" t="s">
        <v>60</v>
      </c>
      <c r="K500" s="1" t="s">
        <v>28</v>
      </c>
      <c r="L500" s="1">
        <v>2</v>
      </c>
      <c r="M500" s="1">
        <v>2761.81</v>
      </c>
      <c r="N500" s="1">
        <v>15</v>
      </c>
      <c r="O500" s="1">
        <v>4695.08</v>
      </c>
      <c r="P500" s="9">
        <f t="shared" si="7"/>
        <v>5523.62</v>
      </c>
      <c r="Q500" s="1"/>
      <c r="R500" s="11"/>
      <c r="S500" s="1"/>
      <c r="T500" s="1"/>
      <c r="U500" s="1"/>
    </row>
    <row r="501" spans="1:21" x14ac:dyDescent="0.3">
      <c r="A501" s="5">
        <v>10500</v>
      </c>
      <c r="B501" s="1">
        <v>1569</v>
      </c>
      <c r="C501" s="2">
        <v>44972</v>
      </c>
      <c r="D501" s="2">
        <v>44977</v>
      </c>
      <c r="E501" s="1" t="s">
        <v>15</v>
      </c>
      <c r="F501" s="1" t="s">
        <v>16</v>
      </c>
      <c r="G501" s="1" t="s">
        <v>30</v>
      </c>
      <c r="H501" s="1" t="s">
        <v>42</v>
      </c>
      <c r="I501" s="1" t="s">
        <v>31</v>
      </c>
      <c r="J501" s="1" t="s">
        <v>65</v>
      </c>
      <c r="K501" s="1" t="s">
        <v>33</v>
      </c>
      <c r="L501" s="1">
        <v>1</v>
      </c>
      <c r="M501" s="1">
        <v>2432.17</v>
      </c>
      <c r="N501" s="1">
        <v>20</v>
      </c>
      <c r="O501" s="1">
        <v>1945.74</v>
      </c>
      <c r="P501" s="9">
        <f t="shared" si="7"/>
        <v>2432.17</v>
      </c>
      <c r="Q501" s="1"/>
      <c r="R501" s="11"/>
      <c r="S501" s="1"/>
      <c r="T501" s="1"/>
      <c r="U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Formulas</vt:lpstr>
      <vt:lpstr>Sheet4</vt:lpstr>
      <vt:lpstr>Sheet7</vt:lpstr>
      <vt:lpstr>Fill</vt:lpstr>
      <vt:lpstr>IF</vt:lpstr>
      <vt:lpstr>Sort</vt:lpstr>
      <vt:lpstr>Filter</vt:lpstr>
      <vt:lpstr>Filter!Criteria</vt:lpstr>
      <vt:lpstr>Sheet7!Extract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Ankita Bharti</cp:lastModifiedBy>
  <dcterms:created xsi:type="dcterms:W3CDTF">2025-11-28T09:29:24Z</dcterms:created>
  <dcterms:modified xsi:type="dcterms:W3CDTF">2026-08-05T08:44:43Z</dcterms:modified>
</cp:coreProperties>
</file>