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Labwork\"/>
    </mc:Choice>
  </mc:AlternateContent>
  <xr:revisionPtr revIDLastSave="0" documentId="8_{90E7295C-C2FB-4E0A-8911-33024D887665}" xr6:coauthVersionLast="47" xr6:coauthVersionMax="47" xr10:uidLastSave="{00000000-0000-0000-0000-000000000000}"/>
  <bookViews>
    <workbookView xWindow="-108" yWindow="-108" windowWidth="23256" windowHeight="12456" xr2:uid="{4F669DDB-E905-4F00-8C32-16B0B0E027D4}"/>
  </bookViews>
  <sheets>
    <sheet name="Index_Matc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1" l="1"/>
  <c r="N14" i="1"/>
  <c r="N41" i="1"/>
  <c r="N31" i="1"/>
  <c r="N36" i="1"/>
  <c r="N26" i="1"/>
  <c r="N20" i="1"/>
  <c r="N19" i="1"/>
  <c r="N4" i="1"/>
</calcChain>
</file>

<file path=xl/sharedStrings.xml><?xml version="1.0" encoding="utf-8"?>
<sst xmlns="http://schemas.openxmlformats.org/spreadsheetml/2006/main" count="58" uniqueCount="29">
  <si>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</si>
  <si>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</si>
  <si>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</si>
  <si>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</si>
  <si>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</si>
  <si>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</si>
  <si>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</si>
  <si>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</si>
  <si>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</si>
  <si>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</si>
  <si>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</si>
  <si>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</si>
  <si>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</si>
  <si>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</si>
  <si>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</si>
  <si>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</si>
  <si>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</si>
  <si>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 xml:space="preserve">1. Use INDEX and MATCH to find the sales for Product C in March. </t>
  </si>
  <si>
    <t>2. Use INDEX and MATCH to find the category for Product E.</t>
  </si>
  <si>
    <t xml:space="preserve">3.  Use INDEX and MATCH to find the maximum sales for Product B across all months. </t>
  </si>
  <si>
    <t xml:space="preserve">4. Use INDEX and MATCH to find the month with the maximum sales for Product A. </t>
  </si>
  <si>
    <t xml:space="preserve">5.  Use INDEX, MATCH, and SUMIF to sum the sales for all products in the "Electronics" category for April. </t>
  </si>
  <si>
    <t>6. Use INDEX and MATCH to calculate the average sales for Product D across all months.</t>
  </si>
  <si>
    <t xml:space="preserve"> 7. Use INDEX and MATCH to find the sales for Product ID 105 in May. </t>
  </si>
  <si>
    <t xml:space="preserve">8. Use INDEX and MATCH to create a dynamic lookup where the user can input a product and a month, and the formula returns the corresponding sales. </t>
  </si>
  <si>
    <t>Product ID</t>
  </si>
  <si>
    <t>Max Sale</t>
  </si>
  <si>
    <t>Month with Highest Sale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</si>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</sst>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0" fillId="0" borderId="2" xfId="0" applyBorder="1"/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0" xfId="0" applyFont="1"/>
    <xf numFmtId="0" fontId="3" fillId="2" borderId="2" xfId="1" applyFont="1" applyFill="1" applyBorder="1" applyAlignment="1">
      <alignment horizontal="center" vertical="center"/>
    </xf>
    <xf numFmtId="0" fontId="1" fillId="0" borderId="2" xfId="0" applyFont="1" applyBorder="1"/>
    <xf numFmtId="0" fontId="5" fillId="0" borderId="2" xfId="1" applyFont="1" applyBorder="1" applyAlignment="1">
      <alignment horizontal="center" vertical="center"/>
    </xf>
    <xf numFmtId="0" fontId="0" fillId="0" borderId="2" xfId="0" applyFont="1" applyBorder="1"/>
  </cellXfs>
  <cellStyles count="2">
    <cellStyle name="Normal" xfId="0" builtinId="0"/>
    <cellStyle name="Normal 2" xfId="1" xr:uid="{5D19C78E-11E4-40A9-9CCB-4A6E1A540E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FF63-F4B7-439C-BDA1-65EB3ED60278}">
  <dimension ref="A1:N41"/>
  <sheetViews>
    <sheetView tabSelected="1" zoomScale="121" workbookViewId="0">
      <selection activeCell="M4" sqref="M4"/>
    </sheetView>
  </sheetViews>
  <sheetFormatPr defaultRowHeight="14.4" x14ac:dyDescent="0.3"/>
  <cols>
    <col min="1" max="1" width="10.5546875" bestFit="1" customWidth="1"/>
    <col min="2" max="2" width="8.5546875" bestFit="1" customWidth="1"/>
    <col min="3" max="3" width="10.77734375" bestFit="1" customWidth="1"/>
    <col min="4" max="4" width="10.33203125" bestFit="1" customWidth="1"/>
    <col min="5" max="5" width="10.5546875" bestFit="1" customWidth="1"/>
    <col min="6" max="6" width="10.44140625" bestFit="1" customWidth="1"/>
    <col min="7" max="7" width="10.33203125" bestFit="1" customWidth="1"/>
    <col min="8" max="8" width="10.88671875" bestFit="1" customWidth="1"/>
    <col min="13" max="13" width="9.6640625" bestFit="1" customWidth="1"/>
    <col min="14" max="14" width="21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6" t="s">
        <v>17</v>
      </c>
    </row>
    <row r="2" spans="1:14" x14ac:dyDescent="0.3">
      <c r="A2" s="2">
        <v>101</v>
      </c>
      <c r="B2" s="2" t="s">
        <v>8</v>
      </c>
      <c r="C2" s="2" t="s">
        <v>9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</row>
    <row r="3" spans="1:14" x14ac:dyDescent="0.3">
      <c r="A3" s="2">
        <v>102</v>
      </c>
      <c r="B3" s="2" t="s">
        <v>10</v>
      </c>
      <c r="C3" s="2" t="s">
        <v>11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  <c r="M3" s="3"/>
      <c r="N3" s="3" t="s">
        <v>12</v>
      </c>
    </row>
    <row r="4" spans="1:14" x14ac:dyDescent="0.3">
      <c r="A4" s="2">
        <v>103</v>
      </c>
      <c r="B4" s="2" t="s">
        <v>12</v>
      </c>
      <c r="C4" s="2" t="s">
        <v>9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  <c r="M4" s="3" t="s">
        <v>5</v>
      </c>
      <c r="N4" s="3">
        <f>INDEX(A1:H7, MATCH( N3, B1:B7, 0), MATCH(M4, A1:H1, 0))</f>
        <v>220</v>
      </c>
    </row>
    <row r="5" spans="1:14" x14ac:dyDescent="0.3">
      <c r="A5" s="2">
        <v>104</v>
      </c>
      <c r="B5" s="2" t="s">
        <v>13</v>
      </c>
      <c r="C5" s="2" t="s">
        <v>14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14" x14ac:dyDescent="0.3">
      <c r="A6" s="2">
        <v>105</v>
      </c>
      <c r="B6" s="2" t="s">
        <v>15</v>
      </c>
      <c r="C6" s="2" t="s">
        <v>11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K6" s="6" t="s">
        <v>18</v>
      </c>
    </row>
    <row r="7" spans="1:14" x14ac:dyDescent="0.3">
      <c r="A7" s="2">
        <v>106</v>
      </c>
      <c r="B7" s="2" t="s">
        <v>16</v>
      </c>
      <c r="C7" s="2" t="s">
        <v>9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8" spans="1:14" x14ac:dyDescent="0.3">
      <c r="M8" s="3"/>
      <c r="N8" s="7" t="s">
        <v>2</v>
      </c>
    </row>
    <row r="9" spans="1:14" x14ac:dyDescent="0.3">
      <c r="M9" s="3" t="s">
        <v>15</v>
      </c>
      <c r="N9" s="3" t="str">
        <f>INDEX(A1:H7, MATCH(M9,B1:B7,0), MATCH(N8,A1:H1,0))</f>
        <v>Furniture</v>
      </c>
    </row>
    <row r="11" spans="1:14" x14ac:dyDescent="0.3">
      <c r="K11" s="6" t="s">
        <v>19</v>
      </c>
    </row>
    <row r="12" spans="1:14" x14ac:dyDescent="0.3">
      <c r="D12" s="5" t="s">
        <v>8</v>
      </c>
    </row>
    <row r="13" spans="1:14" x14ac:dyDescent="0.3">
      <c r="D13" s="5" t="s">
        <v>10</v>
      </c>
      <c r="M13" s="3"/>
      <c r="N13" s="10" t="s">
        <v>26</v>
      </c>
    </row>
    <row r="14" spans="1:14" x14ac:dyDescent="0.3">
      <c r="D14" s="5" t="s">
        <v>12</v>
      </c>
      <c r="M14" s="10" t="s">
        <v>10</v>
      </c>
      <c r="N14" s="3">
        <f>MAX(INDEX(D2:H7,MATCH(B3,B2:B7,0),0))</f>
        <v>190</v>
      </c>
    </row>
    <row r="15" spans="1:14" x14ac:dyDescent="0.3">
      <c r="D15" s="5" t="s">
        <v>13</v>
      </c>
    </row>
    <row r="16" spans="1:14" x14ac:dyDescent="0.3">
      <c r="D16" s="5" t="s">
        <v>15</v>
      </c>
      <c r="K16" s="6" t="s">
        <v>20</v>
      </c>
    </row>
    <row r="17" spans="3:14" x14ac:dyDescent="0.3">
      <c r="D17" s="5" t="s">
        <v>16</v>
      </c>
    </row>
    <row r="18" spans="3:14" x14ac:dyDescent="0.3">
      <c r="M18" s="3"/>
      <c r="N18" s="8" t="s">
        <v>27</v>
      </c>
    </row>
    <row r="19" spans="3:14" x14ac:dyDescent="0.3">
      <c r="C19" s="4" t="s">
        <v>3</v>
      </c>
      <c r="D19" s="4" t="s">
        <v>4</v>
      </c>
      <c r="E19" s="4" t="s">
        <v>5</v>
      </c>
      <c r="F19" s="4" t="s">
        <v>6</v>
      </c>
      <c r="G19" s="4" t="s">
        <v>7</v>
      </c>
      <c r="M19" s="9" t="s">
        <v>8</v>
      </c>
      <c r="N19" s="3" t="str">
        <f>INDEX(D1:H1, MATCH( MAX(D2:H2), D2:H2, 0))</f>
        <v>May Sales</v>
      </c>
    </row>
    <row r="20" spans="3:14" x14ac:dyDescent="0.3">
      <c r="M20" s="3"/>
      <c r="N20" s="3" t="str">
        <f>INDEX(A1:H1, 1, MATCH( MAX( INDEX( B2:H7,MATCH("PRODA", B2:B7, 0), 0)), A2:H2, 0))</f>
        <v>May Sales</v>
      </c>
    </row>
    <row r="22" spans="3:14" x14ac:dyDescent="0.3">
      <c r="F22" s="5">
        <v>101</v>
      </c>
    </row>
    <row r="23" spans="3:14" x14ac:dyDescent="0.3">
      <c r="F23" s="5">
        <v>102</v>
      </c>
      <c r="K23" s="6" t="s">
        <v>21</v>
      </c>
    </row>
    <row r="24" spans="3:14" x14ac:dyDescent="0.3">
      <c r="F24" s="5">
        <v>103</v>
      </c>
    </row>
    <row r="25" spans="3:14" x14ac:dyDescent="0.3">
      <c r="F25" s="5">
        <v>104</v>
      </c>
      <c r="M25" s="3"/>
      <c r="N25" s="3" t="s">
        <v>9</v>
      </c>
    </row>
    <row r="26" spans="3:14" x14ac:dyDescent="0.3">
      <c r="F26" s="5">
        <v>105</v>
      </c>
      <c r="M26" s="3" t="s">
        <v>6</v>
      </c>
      <c r="N26" s="3">
        <f>SUMIF(C2:C7,N25, INDEX(D2:H7, 0, MATCH(M26, D1:H1, 0)))</f>
        <v>540</v>
      </c>
    </row>
    <row r="27" spans="3:14" x14ac:dyDescent="0.3">
      <c r="F27" s="5">
        <v>106</v>
      </c>
    </row>
    <row r="28" spans="3:14" x14ac:dyDescent="0.3">
      <c r="K28" s="6" t="s">
        <v>22</v>
      </c>
    </row>
    <row r="29" spans="3:14" x14ac:dyDescent="0.3">
      <c r="D29" s="5" t="s">
        <v>9</v>
      </c>
    </row>
    <row r="30" spans="3:14" x14ac:dyDescent="0.3">
      <c r="D30" s="5" t="s">
        <v>11</v>
      </c>
      <c r="M30" s="3"/>
      <c r="N30" s="3" t="s">
        <v>28</v>
      </c>
    </row>
    <row r="31" spans="3:14" x14ac:dyDescent="0.3">
      <c r="D31" s="5" t="s">
        <v>14</v>
      </c>
      <c r="F31" s="3"/>
      <c r="M31" s="3" t="s">
        <v>13</v>
      </c>
      <c r="N31" s="3">
        <f>AVERAGE(INDEX(D2:H7, MATCH(M31,B2:B7,0), ))</f>
        <v>110</v>
      </c>
    </row>
    <row r="33" spans="11:14" x14ac:dyDescent="0.3">
      <c r="K33" s="6" t="s">
        <v>23</v>
      </c>
    </row>
    <row r="35" spans="11:14" x14ac:dyDescent="0.3">
      <c r="M35" s="3" t="s">
        <v>25</v>
      </c>
      <c r="N35" s="3" t="s">
        <v>7</v>
      </c>
    </row>
    <row r="36" spans="11:14" x14ac:dyDescent="0.3">
      <c r="M36" s="3">
        <v>105</v>
      </c>
      <c r="N36" s="3">
        <f>INDEX(D2:H7,MATCH(M36,A2:A7,0),MATCH(N35,D1:H1,0))</f>
        <v>260</v>
      </c>
    </row>
    <row r="38" spans="11:14" x14ac:dyDescent="0.3">
      <c r="K38" s="6" t="s">
        <v>24</v>
      </c>
    </row>
    <row r="40" spans="11:14" x14ac:dyDescent="0.3">
      <c r="M40" s="3"/>
      <c r="N40" s="3" t="s">
        <v>12</v>
      </c>
    </row>
    <row r="41" spans="11:14" x14ac:dyDescent="0.3">
      <c r="M41" s="3" t="s">
        <v>5</v>
      </c>
      <c r="N41" s="3">
        <f>INDEX(D2:H7, MATCH(N40,B2:B7,0), MATCH(M41,D1:H1, 0 ))</f>
        <v>220</v>
      </c>
    </row>
  </sheetData>
  <dataValidations count="5">
    <dataValidation type="list" allowBlank="1" showInputMessage="1" showErrorMessage="1" sqref="N40 M9 N3 M31" xr:uid="{BA78CE95-1FB6-4059-A6E6-C43945937735}">
      <formula1>$D$12:$D$17</formula1>
    </dataValidation>
    <dataValidation type="list" allowBlank="1" showInputMessage="1" showErrorMessage="1" sqref="M41 N35 M4 M26 F31" xr:uid="{D86EFA13-350C-45A0-88AB-7E483EC6D7E7}">
      <formula1>$C$19:$G$19</formula1>
    </dataValidation>
    <dataValidation type="list" allowBlank="1" showInputMessage="1" showErrorMessage="1" sqref="M36" xr:uid="{E2E9EBA4-8724-447B-BCB5-DBEDCE6F4C45}">
      <formula1>$A$2:$A$7</formula1>
    </dataValidation>
    <dataValidation type="list" allowBlank="1" showInputMessage="1" showErrorMessage="1" sqref="I20" xr:uid="{9469D466-166E-45C2-99C2-9BF861FD2BAD}">
      <formula1>$F$19:$G$19</formula1>
    </dataValidation>
    <dataValidation type="list" allowBlank="1" showInputMessage="1" showErrorMessage="1" sqref="N25" xr:uid="{C9C71D2F-DCA8-4543-AC29-E04E27DEFB6C}">
      <formula1>$D$29:$D$31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Index_Match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Bharti</dc:creator>
  <cp:lastModifiedBy>Ankita Bharti</cp:lastModifiedBy>
  <dcterms:created xsi:type="dcterms:W3CDTF">2026-08-12T08:52:31Z</dcterms:created>
  <dcterms:modified xsi:type="dcterms:W3CDTF">2026-08-14T05:38:01Z</dcterms:modified>
</cp:coreProperties>
</file>