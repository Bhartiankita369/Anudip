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8_{855FDCAC-5371-48F7-A864-CF9114EFF7DA}" xr6:coauthVersionLast="47" xr6:coauthVersionMax="47" xr10:uidLastSave="{00000000-0000-0000-0000-000000000000}"/>
  <bookViews>
    <workbookView xWindow="-108" yWindow="-108" windowWidth="23256" windowHeight="12456" xr2:uid="{06BF247F-4C20-4686-A183-730C643824DE}"/>
  </bookViews>
  <sheets>
    <sheet name="If_func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4" i="1"/>
  <c r="M5" i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I4" i="1"/>
  <c r="H4" i="1"/>
  <c r="H5" i="1"/>
  <c r="H6" i="1"/>
  <c r="H7" i="1"/>
  <c r="H8" i="1"/>
  <c r="H9" i="1"/>
  <c r="G5" i="1"/>
  <c r="G6" i="1"/>
  <c r="G7" i="1"/>
  <c r="G8" i="1"/>
  <c r="G9" i="1"/>
  <c r="G4" i="1"/>
  <c r="F4" i="1"/>
  <c r="I5" i="1"/>
  <c r="I6" i="1"/>
  <c r="I7" i="1"/>
  <c r="I8" i="1"/>
  <c r="I9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<sst xmlns="http://schemas.openxmlformats.org/spreadsheetml/2006/main" count="34" uniqueCount="32">
  <si>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</si>
  <si>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</si>
  <si>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</si>
  <si>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</si>
  <si>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</si>
  <si>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A</t>
  </si>
  <si>
    <t>B</t>
  </si>
  <si>
    <t>C</t>
  </si>
  <si>
    <t>D</t>
  </si>
  <si>
    <t>E</t>
  </si>
  <si>
    <t>F</t>
  </si>
  <si>
    <t>North</t>
  </si>
  <si>
    <t>South</t>
  </si>
  <si>
    <t>East</t>
  </si>
  <si>
    <t>West</t>
  </si>
  <si>
    <t xml:space="preserve">1. Use the IF function to evaluate whether each product met its sales target. </t>
  </si>
  <si>
    <t xml:space="preserve">2. Use the IF function to determine if a product is eligible for a regional bonus. Products in the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</si>
  <si>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</si>
  <si>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 xml:space="preserve">4. Use the IF function to calculate a bonus amount. If sales met or exceeded the target, the bonus is 10% of the sales; otherwise, it's 5%. </t>
  </si>
  <si>
    <t>5. Use the IF function to categorize sales performance as "Excellent" (&gt;=200), "Good" (&gt;=150), or "Needs Improvement" (&lt;150).</t>
  </si>
  <si>
    <t xml:space="preserve">6. Use the IF function to assign a price tier based on the sales value. "High" for sales &gt; 200, "Medium" for sales between 100 and 200, and "Low" for sales &lt; 100. </t>
  </si>
  <si>
    <t>7. Use the IF function to calculate the year-end bonus. If sales &gt;= 150 and region is "North", the bonus is $500, otherwise, it's $300.</t>
  </si>
  <si>
    <t xml:space="preserve">8. Use the IF function to mark high performers. A product is a high performer if its sales are in the top 25% of all sales. </t>
  </si>
  <si>
    <t>1.Target Achieved</t>
  </si>
  <si>
    <t>2.Eligible region</t>
  </si>
  <si>
    <t>3.Commission Rate</t>
  </si>
  <si>
    <t>4.Bonus Amount</t>
  </si>
  <si>
    <t>5.Categorize</t>
  </si>
  <si>
    <t>6.Price Tier</t>
  </si>
  <si>
    <t>7.Bonus</t>
  </si>
  <si>
    <t>8.Status_performer</t>
  </si>
  <si>
    <t xml:space="preserve">IF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</si>
</sst>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/>
    <xf numFmtId="0" fontId="2" fillId="3" borderId="1" xfId="0" applyFont="1" applyFill="1" applyBorder="1"/>
    <xf numFmtId="0" fontId="0" fillId="3" borderId="1" xfId="0" applyFill="1" applyBorder="1"/>
    <xf numFmtId="9" fontId="0" fillId="3" borderId="1" xfId="1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5E57-F6A0-4209-AADC-B15A2B30DEC8}">
  <dimension ref="A2:M19"/>
  <sheetViews>
    <sheetView tabSelected="1" zoomScale="115" zoomScaleNormal="115" workbookViewId="0">
      <selection activeCell="B23" sqref="B23"/>
    </sheetView>
  </sheetViews>
  <sheetFormatPr defaultRowHeight="14.4" x14ac:dyDescent="0.3"/>
  <cols>
    <col min="6" max="6" width="16.21875" bestFit="1" customWidth="1"/>
    <col min="7" max="7" width="14.88671875" customWidth="1"/>
    <col min="8" max="8" width="17.21875" bestFit="1" customWidth="1"/>
    <col min="9" max="9" width="15.21875" bestFit="1" customWidth="1"/>
    <col min="10" max="10" width="17.77734375" bestFit="1" customWidth="1"/>
    <col min="11" max="11" width="10.33203125" bestFit="1" customWidth="1"/>
    <col min="13" max="13" width="17.5546875" bestFit="1" customWidth="1"/>
  </cols>
  <sheetData>
    <row r="2" spans="1:13" x14ac:dyDescent="0.3">
      <c r="F2" s="6" t="s">
        <v>31</v>
      </c>
      <c r="G2" s="7"/>
      <c r="H2" s="7"/>
      <c r="I2" s="8"/>
      <c r="J2" s="1"/>
      <c r="K2" s="1"/>
      <c r="L2" s="1"/>
      <c r="M2" s="1"/>
    </row>
    <row r="3" spans="1:13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</row>
    <row r="4" spans="1:13" x14ac:dyDescent="0.3">
      <c r="A4" s="4">
        <v>101</v>
      </c>
      <c r="B4" s="4" t="s">
        <v>5</v>
      </c>
      <c r="C4" s="4">
        <v>120</v>
      </c>
      <c r="D4" s="4">
        <v>150</v>
      </c>
      <c r="E4" s="4" t="s">
        <v>11</v>
      </c>
      <c r="F4" s="4" t="str">
        <f>IF(C4&gt;D4, "Achieved","Not achieved")</f>
        <v>Not achieved</v>
      </c>
      <c r="G4" s="4" t="str">
        <f>IF(AND(E4 ="North",C4&gt;200),"Eligible","Not Eligible")</f>
        <v>Not Eligible</v>
      </c>
      <c r="H4" s="5">
        <f>IF(C4&gt;=200, 10%, IF(C4&gt;=150, 7%, 5%))</f>
        <v>0.05</v>
      </c>
      <c r="I4" s="4">
        <f>IF(C4&gt;=D4, C4*10%, C4*5%)</f>
        <v>6</v>
      </c>
      <c r="J4" s="4" t="str">
        <f>IF(C4&gt;=200,"Excellent",IF(C4&gt;=150,"Good","Needs Improvement"))</f>
        <v>Needs Improvement</v>
      </c>
      <c r="K4" s="4" t="str">
        <f>IF(C4&gt;200,"High",IF(C4&gt;=100,"Medium","Low"))</f>
        <v>Medium</v>
      </c>
      <c r="L4" s="4" t="str">
        <f>IF(AND(C4&gt;=150, E4="North"),"500$","300$")</f>
        <v>300$</v>
      </c>
      <c r="M4" s="4" t="str">
        <f>IF(C4 &gt; _xlfn.PERCENTILE.INC($C$4:$C$9,0.75), "High Performer", "Low performer")</f>
        <v>Low performer</v>
      </c>
    </row>
    <row r="5" spans="1:13" x14ac:dyDescent="0.3">
      <c r="A5" s="4">
        <v>102</v>
      </c>
      <c r="B5" s="4" t="s">
        <v>6</v>
      </c>
      <c r="C5" s="4">
        <v>150</v>
      </c>
      <c r="D5" s="4">
        <v>140</v>
      </c>
      <c r="E5" s="4" t="s">
        <v>12</v>
      </c>
      <c r="F5" s="4" t="str">
        <f t="shared" ref="F5:F9" si="0">IF(C5&gt;D5, "Achieved","Not achieved")</f>
        <v>Achieved</v>
      </c>
      <c r="G5" s="4" t="str">
        <f t="shared" ref="G5:G9" si="1">IF(AND(E5 ="North",C5&gt;200),"Eligible","Not Eligible")</f>
        <v>Not Eligible</v>
      </c>
      <c r="H5" s="5">
        <f t="shared" ref="H5:H9" si="2">IF(C5&gt;=200, 10%, IF(C5&gt;=150, 7%, 5%))</f>
        <v>7.0000000000000007E-2</v>
      </c>
      <c r="I5" s="4">
        <f t="shared" ref="I5:I9" si="3">IF(C5&gt;=D5, C5*10%, C5*5%)</f>
        <v>15</v>
      </c>
      <c r="J5" s="4" t="str">
        <f t="shared" ref="J5:J9" si="4">IF(C5&gt;=200,"Excellent",IF(C5&gt;=150,"Good","Needs Improvement"))</f>
        <v>Good</v>
      </c>
      <c r="K5" s="4" t="str">
        <f t="shared" ref="K5:K9" si="5">IF(C5&gt;200,"High",IF(C5&gt;=100,"Medium","Low"))</f>
        <v>Medium</v>
      </c>
      <c r="L5" s="4" t="str">
        <f t="shared" ref="L5:L9" si="6">IF(AND(C5&gt;=150, E5="North"),"500$","300$")</f>
        <v>300$</v>
      </c>
      <c r="M5" s="4" t="str">
        <f t="shared" ref="M5:M9" si="7">IF(C5 &gt; _xlfn.PERCENTILE.INC($C$4:$C$9,0.75), "High Performer", "Low performer")</f>
        <v>Low performer</v>
      </c>
    </row>
    <row r="6" spans="1:13" x14ac:dyDescent="0.3">
      <c r="A6" s="4">
        <v>103</v>
      </c>
      <c r="B6" s="4" t="s">
        <v>7</v>
      </c>
      <c r="C6" s="4">
        <v>200</v>
      </c>
      <c r="D6" s="4">
        <v>200</v>
      </c>
      <c r="E6" s="4" t="s">
        <v>13</v>
      </c>
      <c r="F6" s="4" t="str">
        <f t="shared" si="0"/>
        <v>Not achieved</v>
      </c>
      <c r="G6" s="4" t="str">
        <f t="shared" si="1"/>
        <v>Not Eligible</v>
      </c>
      <c r="H6" s="5">
        <f t="shared" si="2"/>
        <v>0.1</v>
      </c>
      <c r="I6" s="4">
        <f t="shared" si="3"/>
        <v>20</v>
      </c>
      <c r="J6" s="4" t="str">
        <f t="shared" si="4"/>
        <v>Excellent</v>
      </c>
      <c r="K6" s="4" t="str">
        <f t="shared" si="5"/>
        <v>Medium</v>
      </c>
      <c r="L6" s="4" t="str">
        <f t="shared" si="6"/>
        <v>300$</v>
      </c>
      <c r="M6" s="4" t="str">
        <f t="shared" si="7"/>
        <v>High Performer</v>
      </c>
    </row>
    <row r="7" spans="1:13" x14ac:dyDescent="0.3">
      <c r="A7" s="4">
        <v>104</v>
      </c>
      <c r="B7" s="4" t="s">
        <v>8</v>
      </c>
      <c r="C7" s="4">
        <v>90</v>
      </c>
      <c r="D7" s="4">
        <v>100</v>
      </c>
      <c r="E7" s="4" t="s">
        <v>14</v>
      </c>
      <c r="F7" s="4" t="str">
        <f t="shared" si="0"/>
        <v>Not achieved</v>
      </c>
      <c r="G7" s="4" t="str">
        <f t="shared" si="1"/>
        <v>Not Eligible</v>
      </c>
      <c r="H7" s="5">
        <f t="shared" si="2"/>
        <v>0.05</v>
      </c>
      <c r="I7" s="4">
        <f t="shared" si="3"/>
        <v>4.5</v>
      </c>
      <c r="J7" s="4" t="str">
        <f t="shared" si="4"/>
        <v>Needs Improvement</v>
      </c>
      <c r="K7" s="4" t="str">
        <f t="shared" si="5"/>
        <v>Low</v>
      </c>
      <c r="L7" s="4" t="str">
        <f t="shared" si="6"/>
        <v>300$</v>
      </c>
      <c r="M7" s="4" t="str">
        <f t="shared" si="7"/>
        <v>Low performer</v>
      </c>
    </row>
    <row r="8" spans="1:13" x14ac:dyDescent="0.3">
      <c r="A8" s="4">
        <v>105</v>
      </c>
      <c r="B8" s="4" t="s">
        <v>9</v>
      </c>
      <c r="C8" s="4">
        <v>220</v>
      </c>
      <c r="D8" s="4">
        <v>210</v>
      </c>
      <c r="E8" s="4" t="s">
        <v>11</v>
      </c>
      <c r="F8" s="4" t="str">
        <f t="shared" si="0"/>
        <v>Achieved</v>
      </c>
      <c r="G8" s="4" t="str">
        <f t="shared" si="1"/>
        <v>Eligible</v>
      </c>
      <c r="H8" s="5">
        <f t="shared" si="2"/>
        <v>0.1</v>
      </c>
      <c r="I8" s="4">
        <f t="shared" si="3"/>
        <v>22</v>
      </c>
      <c r="J8" s="4" t="str">
        <f t="shared" si="4"/>
        <v>Excellent</v>
      </c>
      <c r="K8" s="4" t="str">
        <f t="shared" si="5"/>
        <v>High</v>
      </c>
      <c r="L8" s="4" t="str">
        <f t="shared" si="6"/>
        <v>500$</v>
      </c>
      <c r="M8" s="4" t="str">
        <f t="shared" si="7"/>
        <v>High Performer</v>
      </c>
    </row>
    <row r="9" spans="1:13" x14ac:dyDescent="0.3">
      <c r="A9" s="4">
        <v>106</v>
      </c>
      <c r="B9" s="4" t="s">
        <v>10</v>
      </c>
      <c r="C9" s="4">
        <v>130</v>
      </c>
      <c r="D9" s="4">
        <v>160</v>
      </c>
      <c r="E9" s="4" t="s">
        <v>12</v>
      </c>
      <c r="F9" s="4" t="str">
        <f t="shared" si="0"/>
        <v>Not achieved</v>
      </c>
      <c r="G9" s="4" t="str">
        <f t="shared" si="1"/>
        <v>Not Eligible</v>
      </c>
      <c r="H9" s="5">
        <f t="shared" si="2"/>
        <v>0.05</v>
      </c>
      <c r="I9" s="4">
        <f t="shared" si="3"/>
        <v>6.5</v>
      </c>
      <c r="J9" s="4" t="str">
        <f t="shared" si="4"/>
        <v>Needs Improvement</v>
      </c>
      <c r="K9" s="4" t="str">
        <f t="shared" si="5"/>
        <v>Medium</v>
      </c>
      <c r="L9" s="4" t="str">
        <f t="shared" si="6"/>
        <v>300$</v>
      </c>
      <c r="M9" s="4" t="str">
        <f t="shared" si="7"/>
        <v>Low performer</v>
      </c>
    </row>
    <row r="12" spans="1:13" x14ac:dyDescent="0.3">
      <c r="D12" t="s">
        <v>15</v>
      </c>
    </row>
    <row r="13" spans="1:13" x14ac:dyDescent="0.3">
      <c r="D13" t="s">
        <v>16</v>
      </c>
    </row>
    <row r="14" spans="1:13" x14ac:dyDescent="0.3">
      <c r="D14" t="s">
        <v>17</v>
      </c>
    </row>
    <row r="15" spans="1:13" x14ac:dyDescent="0.3">
      <c r="D15" t="s">
        <v>18</v>
      </c>
      <c r="G15" s="2"/>
    </row>
    <row r="16" spans="1:13" x14ac:dyDescent="0.3">
      <c r="D16" t="s">
        <v>19</v>
      </c>
    </row>
    <row r="17" spans="4:4" x14ac:dyDescent="0.3">
      <c r="D17" t="s">
        <v>20</v>
      </c>
    </row>
    <row r="18" spans="4:4" x14ac:dyDescent="0.3">
      <c r="D18" t="s">
        <v>21</v>
      </c>
    </row>
    <row r="19" spans="4:4" x14ac:dyDescent="0.3">
      <c r="D19" t="s">
        <v>22</v>
      </c>
    </row>
  </sheetData>
  <mergeCells count="1">
    <mergeCell ref="F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If_function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2026-08-03T06:24:00Z</dcterms:created>
  <dcterms:modified xsi:type="dcterms:W3CDTF">2026-08-04T07:10:42Z</dcterms:modified>
</cp:coreProperties>
</file>