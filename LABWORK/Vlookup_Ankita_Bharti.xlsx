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Labwork\"/>
    </mc:Choice>
  </mc:AlternateContent>
  <xr:revisionPtr revIDLastSave="0" documentId="8_{046E51E1-B08E-4693-85DB-AB3F1BB4BD73}" xr6:coauthVersionLast="47" xr6:coauthVersionMax="47" xr10:uidLastSave="{00000000-0000-0000-0000-000000000000}"/>
  <bookViews>
    <workbookView xWindow="-108" yWindow="-108" windowWidth="23256" windowHeight="12456" activeTab="1" xr2:uid="{61B924EA-E1A8-4998-A1CD-A63410F39F2A}"/>
  </bookViews>
  <sheets>
    <sheet name="Products" sheetId="1" r:id="rId1"/>
    <sheet name="Orde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2" i="2" l="1"/>
  <c r="O33" i="2"/>
  <c r="O34" i="2"/>
  <c r="O35" i="2"/>
  <c r="O36" i="2"/>
  <c r="O31" i="2"/>
  <c r="G10" i="2"/>
  <c r="G5" i="2"/>
  <c r="G6" i="2"/>
  <c r="G7" i="2"/>
  <c r="G8" i="2"/>
  <c r="G9" i="2"/>
  <c r="G4" i="2"/>
  <c r="D4" i="2"/>
  <c r="D5" i="1" l="1"/>
  <c r="D6" i="1"/>
  <c r="D7" i="1"/>
  <c r="D8" i="1"/>
  <c r="D9" i="1"/>
  <c r="D10" i="1"/>
  <c r="D4" i="1"/>
  <c r="F4" i="2"/>
  <c r="D5" i="2"/>
  <c r="F5" i="2" s="1"/>
  <c r="H5" i="2" s="1"/>
  <c r="D6" i="2"/>
  <c r="F6" i="2" s="1"/>
  <c r="H6" i="2" s="1"/>
  <c r="D7" i="2"/>
  <c r="F7" i="2" s="1"/>
  <c r="H7" i="2" s="1"/>
  <c r="D8" i="2"/>
  <c r="F8" i="2" s="1"/>
  <c r="H8" i="2" s="1"/>
  <c r="D9" i="2"/>
  <c r="F9" i="2" s="1"/>
  <c r="H9" i="2" s="1"/>
  <c r="C5" i="2"/>
  <c r="C6" i="2"/>
  <c r="N33" i="2" s="1"/>
  <c r="C7" i="2"/>
  <c r="N34" i="2" s="1"/>
  <c r="C8" i="2"/>
  <c r="N35" i="2" s="1"/>
  <c r="C9" i="2"/>
  <c r="N36" i="2" s="1"/>
  <c r="C4" i="2"/>
  <c r="N31" i="2" s="1"/>
  <c r="M4" i="2" l="1"/>
  <c r="N32" i="2"/>
  <c r="O19" i="2"/>
  <c r="H4" i="2"/>
</calcChain>
</file>

<file path=xl/sharedStrings.xml><?xml version="1.0" encoding="utf-8"?>
<sst xmlns="http://schemas.openxmlformats.org/spreadsheetml/2006/main" count="33" uniqueCount="28">
  <si>
    <t>Products</t>
  </si>
  <si>
    <t>ProductID</t>
  </si>
  <si>
    <t>Product</t>
  </si>
  <si>
    <t>Price</t>
  </si>
  <si>
    <t>ProductA</t>
  </si>
  <si>
    <t>ProductB</t>
  </si>
  <si>
    <t>ProductD</t>
  </si>
  <si>
    <t>ProductC</t>
  </si>
  <si>
    <t>ProductE</t>
  </si>
  <si>
    <t>ProductF</t>
  </si>
  <si>
    <t>OrderID</t>
  </si>
  <si>
    <t>Quantity</t>
  </si>
  <si>
    <t xml:space="preserve">2.Use VLOOKUP to find the price for each ProductID in the Orders worksheet, then calculate the TotalPrice by multiplying the Quantity by the Product Price. </t>
  </si>
  <si>
    <t>Product Name</t>
  </si>
  <si>
    <t xml:space="preserve">1. Use VLOOKUP to find the product names for each ProductID in the Orders worksheet. </t>
  </si>
  <si>
    <t xml:space="preserve">3.Use VLOOKUP to check if there are any ProductIDs in the Orders worksheet that do not exist in the Products worksheet. </t>
  </si>
  <si>
    <t xml:space="preserve">4.Assume a discount of 10% is given on all products. Use VLOOKUP to find the original price and then calculate the discounted price. </t>
  </si>
  <si>
    <t xml:space="preserve">5.Use VLOOKUP to find the price for each ProductID and then calculate the order value. Find the maximum order value from the list. </t>
  </si>
  <si>
    <t xml:space="preserve">6.Use VLOOKUP to find out which products from the Products worksheet have not been ordered. </t>
  </si>
  <si>
    <t xml:space="preserve">7.Use VLOOKUP to find the Product name and summarize the total quantity sold for each product. </t>
  </si>
  <si>
    <t>Maxm order value</t>
  </si>
  <si>
    <t>ProductH</t>
  </si>
  <si>
    <t>2.Total Price</t>
  </si>
  <si>
    <t>4.Discounted Price</t>
  </si>
  <si>
    <t>3.Prod/Present/Not</t>
  </si>
  <si>
    <t>6.Ordered/Not Ordered</t>
  </si>
  <si>
    <t># Answer in Product sheet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</si>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</sst>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2" xfId="0" applyFill="1" applyBorder="1"/>
    <xf numFmtId="0" fontId="0" fillId="8" borderId="4" xfId="0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0" borderId="0" xfId="0" applyFill="1" applyBorder="1"/>
    <xf numFmtId="0" fontId="1" fillId="2" borderId="5" xfId="0" applyFont="1" applyFill="1" applyBorder="1"/>
    <xf numFmtId="0" fontId="1" fillId="7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1DBC-6880-4234-A7A7-87B0AE941684}">
  <dimension ref="A2:M11"/>
  <sheetViews>
    <sheetView workbookViewId="0">
      <selection activeCell="H13" sqref="H13"/>
    </sheetView>
  </sheetViews>
  <sheetFormatPr defaultRowHeight="14.4" x14ac:dyDescent="0.3"/>
  <cols>
    <col min="4" max="4" width="21" bestFit="1" customWidth="1"/>
  </cols>
  <sheetData>
    <row r="2" spans="1:13" x14ac:dyDescent="0.3">
      <c r="A2" s="17"/>
      <c r="B2" s="18"/>
      <c r="C2" s="19" t="s">
        <v>0</v>
      </c>
      <c r="D2" s="20"/>
    </row>
    <row r="3" spans="1:13" x14ac:dyDescent="0.3">
      <c r="A3" s="11" t="s">
        <v>1</v>
      </c>
      <c r="B3" s="11" t="s">
        <v>2</v>
      </c>
      <c r="C3" s="11" t="s">
        <v>3</v>
      </c>
      <c r="D3" s="13" t="s">
        <v>25</v>
      </c>
      <c r="F3" s="4"/>
      <c r="G3" s="4"/>
      <c r="M3" s="3"/>
    </row>
    <row r="4" spans="1:13" x14ac:dyDescent="0.3">
      <c r="A4" s="12">
        <v>101</v>
      </c>
      <c r="B4" s="12" t="s">
        <v>4</v>
      </c>
      <c r="C4" s="12">
        <v>120</v>
      </c>
      <c r="D4" s="14" t="str">
        <f>IF(ISNA(VLOOKUP(A4,Orders!$B$3:$B$9,1,0)),"Not Ordered","Ordered")</f>
        <v>Ordered</v>
      </c>
      <c r="F4" s="3"/>
      <c r="G4" s="3"/>
      <c r="M4" s="3"/>
    </row>
    <row r="5" spans="1:13" x14ac:dyDescent="0.3">
      <c r="A5" s="12">
        <v>102</v>
      </c>
      <c r="B5" s="12" t="s">
        <v>5</v>
      </c>
      <c r="C5" s="12">
        <v>150</v>
      </c>
      <c r="D5" s="14" t="str">
        <f>IF(ISNA(VLOOKUP(A5,Orders!$B$3:$B$9,1,0)),"Not Ordered","Ordered")</f>
        <v>Ordered</v>
      </c>
      <c r="M5" s="3"/>
    </row>
    <row r="6" spans="1:13" x14ac:dyDescent="0.3">
      <c r="A6" s="12">
        <v>103</v>
      </c>
      <c r="B6" s="12" t="s">
        <v>7</v>
      </c>
      <c r="C6" s="12">
        <v>200</v>
      </c>
      <c r="D6" s="14" t="str">
        <f>IF(ISNA(VLOOKUP(A6,Orders!$B$3:$B$9,1,0)),"Not Ordered","Ordered")</f>
        <v>Ordered</v>
      </c>
      <c r="M6" s="3"/>
    </row>
    <row r="7" spans="1:13" x14ac:dyDescent="0.3">
      <c r="A7" s="12">
        <v>104</v>
      </c>
      <c r="B7" s="12" t="s">
        <v>6</v>
      </c>
      <c r="C7" s="12">
        <v>90</v>
      </c>
      <c r="D7" s="14" t="str">
        <f>IF(ISNA(VLOOKUP(A7,Orders!$B$3:$B$9,1,0)),"Not Ordered","Ordered")</f>
        <v>Ordered</v>
      </c>
      <c r="M7" s="3"/>
    </row>
    <row r="8" spans="1:13" x14ac:dyDescent="0.3">
      <c r="A8" s="12">
        <v>105</v>
      </c>
      <c r="B8" s="12" t="s">
        <v>8</v>
      </c>
      <c r="C8" s="12">
        <v>220</v>
      </c>
      <c r="D8" s="14" t="str">
        <f>IF(ISNA(VLOOKUP(A8,Orders!$B$3:$B$9,1,0)),"Not Ordered","Ordered")</f>
        <v>Ordered</v>
      </c>
      <c r="M8" s="3"/>
    </row>
    <row r="9" spans="1:13" x14ac:dyDescent="0.3">
      <c r="A9" s="12">
        <v>106</v>
      </c>
      <c r="B9" s="12" t="s">
        <v>9</v>
      </c>
      <c r="C9" s="12">
        <v>130</v>
      </c>
      <c r="D9" s="14" t="str">
        <f>IF(ISNA(VLOOKUP(A9,Orders!$B$3:$B$9,1,0)),"Not Ordered","Ordered")</f>
        <v>Ordered</v>
      </c>
    </row>
    <row r="10" spans="1:13" x14ac:dyDescent="0.3">
      <c r="A10" s="12">
        <v>108</v>
      </c>
      <c r="B10" s="12" t="s">
        <v>21</v>
      </c>
      <c r="C10" s="12">
        <v>200</v>
      </c>
      <c r="D10" s="14" t="str">
        <f>IF(ISNA(VLOOKUP(A10,Orders!$B$3:$B$9,1,0)),"Not Ordered","Ordered")</f>
        <v>Not Ordered</v>
      </c>
    </row>
    <row r="11" spans="1:13" x14ac:dyDescent="0.3">
      <c r="A11" s="22"/>
    </row>
  </sheetData>
  <dataValidations count="1">
    <dataValidation type="list" allowBlank="1" showInputMessage="1" showErrorMessage="1" sqref="F4" xr:uid="{CA4F6B21-D5A2-4B28-928A-6BF9BD5C6DA7}">
      <formula1>$M$3:$M$8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AD16-E36E-45CC-9D04-A1952DDD0D59}">
  <dimension ref="A2:X36"/>
  <sheetViews>
    <sheetView tabSelected="1" zoomScale="103" zoomScaleNormal="100" workbookViewId="0">
      <selection activeCell="C18" sqref="C18"/>
    </sheetView>
  </sheetViews>
  <sheetFormatPr defaultRowHeight="14.4" x14ac:dyDescent="0.3"/>
  <cols>
    <col min="3" max="3" width="13.21875" bestFit="1" customWidth="1"/>
    <col min="4" max="4" width="13.21875" customWidth="1"/>
    <col min="6" max="6" width="11.6640625" bestFit="1" customWidth="1"/>
    <col min="7" max="7" width="17.44140625" customWidth="1"/>
    <col min="8" max="8" width="21.33203125" bestFit="1" customWidth="1"/>
    <col min="13" max="13" width="11.5546875" customWidth="1"/>
    <col min="14" max="14" width="11.33203125" customWidth="1"/>
  </cols>
  <sheetData>
    <row r="2" spans="1:24" x14ac:dyDescent="0.3">
      <c r="A2" s="17"/>
      <c r="B2" s="19"/>
      <c r="C2" s="19"/>
      <c r="D2" s="19"/>
      <c r="E2" s="19" t="s">
        <v>27</v>
      </c>
      <c r="F2" s="19"/>
      <c r="G2" s="19"/>
      <c r="H2" s="21"/>
      <c r="K2" s="1" t="s">
        <v>14</v>
      </c>
    </row>
    <row r="3" spans="1:24" x14ac:dyDescent="0.3">
      <c r="A3" s="23" t="s">
        <v>10</v>
      </c>
      <c r="B3" s="23" t="s">
        <v>1</v>
      </c>
      <c r="C3" s="24" t="s">
        <v>13</v>
      </c>
      <c r="D3" s="24" t="s">
        <v>3</v>
      </c>
      <c r="E3" s="23" t="s">
        <v>11</v>
      </c>
      <c r="F3" s="23" t="s">
        <v>22</v>
      </c>
      <c r="G3" s="23" t="s">
        <v>24</v>
      </c>
      <c r="H3" s="23" t="s">
        <v>23</v>
      </c>
    </row>
    <row r="4" spans="1:24" x14ac:dyDescent="0.3">
      <c r="A4" s="6">
        <v>1</v>
      </c>
      <c r="B4" s="6">
        <v>101</v>
      </c>
      <c r="C4" s="16" t="str">
        <f>VLOOKUP(B4,Products!$A$3:$C$9,2,0)</f>
        <v>ProductA</v>
      </c>
      <c r="D4" s="16">
        <f>VLOOKUP(B4,Products!$A$3:$C$9,3,0)</f>
        <v>120</v>
      </c>
      <c r="E4" s="6">
        <v>2</v>
      </c>
      <c r="F4" s="6">
        <f>D4*E4</f>
        <v>240</v>
      </c>
      <c r="G4" s="6" t="str">
        <f>IF(ISNA(VLOOKUP(B4,Products!$A$4:$A$11,1,0)), "No","Yes")</f>
        <v>Yes</v>
      </c>
      <c r="H4" s="6">
        <f>F4-F4*10%</f>
        <v>216</v>
      </c>
      <c r="L4" s="9">
        <v>103</v>
      </c>
      <c r="M4" s="10" t="str">
        <f>VLOOKUP(L4,B4:C9,2,0)</f>
        <v>ProductC</v>
      </c>
    </row>
    <row r="5" spans="1:24" x14ac:dyDescent="0.3">
      <c r="A5" s="6">
        <v>2</v>
      </c>
      <c r="B5" s="6">
        <v>103</v>
      </c>
      <c r="C5" s="16" t="str">
        <f>VLOOKUP(B5,Products!$A$3:$C$9,2,0)</f>
        <v>ProductC</v>
      </c>
      <c r="D5" s="16">
        <f>VLOOKUP(B5,Products!$A$3:$C$9,3,0)</f>
        <v>200</v>
      </c>
      <c r="E5" s="6">
        <v>1</v>
      </c>
      <c r="F5" s="6">
        <f t="shared" ref="F5:F9" si="0">D5*E5</f>
        <v>200</v>
      </c>
      <c r="G5" s="6" t="str">
        <f>IF(ISNA(VLOOKUP(B5,Products!$A$4:$A$11,1,0)), "No","Yes")</f>
        <v>Yes</v>
      </c>
      <c r="H5" s="6">
        <f t="shared" ref="H5:H9" si="1">F5-F5*10%</f>
        <v>180</v>
      </c>
      <c r="X5" s="3"/>
    </row>
    <row r="6" spans="1:24" x14ac:dyDescent="0.3">
      <c r="A6" s="6">
        <v>3</v>
      </c>
      <c r="B6" s="6">
        <v>105</v>
      </c>
      <c r="C6" s="16" t="str">
        <f>VLOOKUP(B6,Products!$A$3:$C$9,2,0)</f>
        <v>ProductE</v>
      </c>
      <c r="D6" s="16">
        <f>VLOOKUP(B6,Products!$A$3:$C$9,3,0)</f>
        <v>220</v>
      </c>
      <c r="E6" s="6">
        <v>4</v>
      </c>
      <c r="F6" s="6">
        <f t="shared" si="0"/>
        <v>880</v>
      </c>
      <c r="G6" s="6" t="str">
        <f>IF(ISNA(VLOOKUP(B6,Products!$A$4:$A$11,1,0)), "No","Yes")</f>
        <v>Yes</v>
      </c>
      <c r="H6" s="6">
        <f t="shared" si="1"/>
        <v>792</v>
      </c>
      <c r="K6" s="1" t="s">
        <v>12</v>
      </c>
      <c r="X6" s="3"/>
    </row>
    <row r="7" spans="1:24" x14ac:dyDescent="0.3">
      <c r="A7" s="6">
        <v>4</v>
      </c>
      <c r="B7" s="6">
        <v>106</v>
      </c>
      <c r="C7" s="16" t="str">
        <f>VLOOKUP(B7,Products!$A$3:$C$9,2,0)</f>
        <v>ProductF</v>
      </c>
      <c r="D7" s="16">
        <f>VLOOKUP(B7,Products!$A$3:$C$9,3,0)</f>
        <v>130</v>
      </c>
      <c r="E7" s="6">
        <v>3</v>
      </c>
      <c r="F7" s="6">
        <f t="shared" si="0"/>
        <v>390</v>
      </c>
      <c r="G7" s="6" t="str">
        <f>IF(ISNA(VLOOKUP(B7,Products!$A$4:$A$11,1,0)), "No","Yes")</f>
        <v>Yes</v>
      </c>
      <c r="H7" s="6">
        <f t="shared" si="1"/>
        <v>351</v>
      </c>
      <c r="X7" s="3"/>
    </row>
    <row r="8" spans="1:24" x14ac:dyDescent="0.3">
      <c r="A8" s="6">
        <v>5</v>
      </c>
      <c r="B8" s="6">
        <v>102</v>
      </c>
      <c r="C8" s="16" t="str">
        <f>VLOOKUP(B8,Products!$A$3:$C$9,2,0)</f>
        <v>ProductB</v>
      </c>
      <c r="D8" s="16">
        <f>VLOOKUP(B8,Products!$A$3:$C$9,3,0)</f>
        <v>150</v>
      </c>
      <c r="E8" s="6">
        <v>5</v>
      </c>
      <c r="F8" s="6">
        <f t="shared" si="0"/>
        <v>750</v>
      </c>
      <c r="G8" s="6" t="str">
        <f>IF(ISNA(VLOOKUP(B8,Products!$A$4:$A$11,1,0)), "No","Yes")</f>
        <v>Yes</v>
      </c>
      <c r="H8" s="6">
        <f t="shared" si="1"/>
        <v>675</v>
      </c>
      <c r="X8" s="3"/>
    </row>
    <row r="9" spans="1:24" x14ac:dyDescent="0.3">
      <c r="A9" s="6">
        <v>6</v>
      </c>
      <c r="B9" s="6">
        <v>104</v>
      </c>
      <c r="C9" s="16" t="str">
        <f>VLOOKUP(B9,Products!$A$3:$C$9,2,0)</f>
        <v>ProductD</v>
      </c>
      <c r="D9" s="16">
        <f>VLOOKUP(B9,Products!$A$3:$C$9,3,0)</f>
        <v>90</v>
      </c>
      <c r="E9" s="6">
        <v>6</v>
      </c>
      <c r="F9" s="6">
        <f t="shared" si="0"/>
        <v>540</v>
      </c>
      <c r="G9" s="6" t="str">
        <f>IF(ISNA(VLOOKUP(B9,Products!$A$4:$A$11,1,0)), "No","Yes")</f>
        <v>Yes</v>
      </c>
      <c r="H9" s="6">
        <f t="shared" si="1"/>
        <v>486</v>
      </c>
      <c r="K9" s="1" t="s">
        <v>15</v>
      </c>
      <c r="X9" s="3"/>
    </row>
    <row r="10" spans="1:24" x14ac:dyDescent="0.3">
      <c r="A10" s="6">
        <v>7</v>
      </c>
      <c r="B10" s="6">
        <v>109</v>
      </c>
      <c r="C10" s="6"/>
      <c r="D10" s="6"/>
      <c r="E10" s="6"/>
      <c r="F10" s="6"/>
      <c r="G10" s="6" t="str">
        <f>IF(ISNA(VLOOKUP(B10,Products!$A$4:$A$11,1,0)), "No","Yes")</f>
        <v>No</v>
      </c>
      <c r="H10" s="6"/>
      <c r="X10" s="3"/>
    </row>
    <row r="12" spans="1:24" x14ac:dyDescent="0.3">
      <c r="K12" s="1" t="s">
        <v>16</v>
      </c>
    </row>
    <row r="15" spans="1:24" x14ac:dyDescent="0.3">
      <c r="F15" s="2">
        <v>101</v>
      </c>
      <c r="R15" s="4"/>
      <c r="S15" s="4"/>
    </row>
    <row r="16" spans="1:24" x14ac:dyDescent="0.3">
      <c r="F16" s="2">
        <v>103</v>
      </c>
      <c r="R16" s="3"/>
      <c r="S16" s="3"/>
    </row>
    <row r="17" spans="6:15" x14ac:dyDescent="0.3">
      <c r="F17" s="2">
        <v>105</v>
      </c>
      <c r="K17" s="1" t="s">
        <v>17</v>
      </c>
    </row>
    <row r="18" spans="6:15" x14ac:dyDescent="0.3">
      <c r="F18" s="2">
        <v>106</v>
      </c>
    </row>
    <row r="19" spans="6:15" x14ac:dyDescent="0.3">
      <c r="F19" s="2">
        <v>102</v>
      </c>
      <c r="M19" s="7" t="s">
        <v>20</v>
      </c>
      <c r="N19" s="8"/>
      <c r="O19" s="8">
        <f>MAX(F4:F9)</f>
        <v>880</v>
      </c>
    </row>
    <row r="20" spans="6:15" x14ac:dyDescent="0.3">
      <c r="F20" s="2">
        <v>104</v>
      </c>
    </row>
    <row r="22" spans="6:15" x14ac:dyDescent="0.3">
      <c r="K22" s="1" t="s">
        <v>18</v>
      </c>
    </row>
    <row r="24" spans="6:15" x14ac:dyDescent="0.3">
      <c r="N24" t="s">
        <v>26</v>
      </c>
    </row>
    <row r="27" spans="6:15" x14ac:dyDescent="0.3">
      <c r="K27" s="1" t="s">
        <v>19</v>
      </c>
    </row>
    <row r="30" spans="6:15" x14ac:dyDescent="0.3">
      <c r="M30" s="5" t="s">
        <v>1</v>
      </c>
      <c r="N30" s="5" t="s">
        <v>13</v>
      </c>
      <c r="O30" s="5" t="s">
        <v>11</v>
      </c>
    </row>
    <row r="31" spans="6:15" x14ac:dyDescent="0.3">
      <c r="M31" s="6">
        <v>101</v>
      </c>
      <c r="N31" s="15" t="str">
        <f>VLOOKUP(M31,B$4:C$9,2,0)</f>
        <v>ProductA</v>
      </c>
      <c r="O31" s="15">
        <f>SUMIF($B$4:$B$9,M31,$E$4:$E$9)</f>
        <v>2</v>
      </c>
    </row>
    <row r="32" spans="6:15" x14ac:dyDescent="0.3">
      <c r="M32" s="6">
        <v>103</v>
      </c>
      <c r="N32" s="15" t="str">
        <f>VLOOKUP(M32,B$4:C$9,2,0)</f>
        <v>ProductC</v>
      </c>
      <c r="O32" s="15">
        <f t="shared" ref="O32:O36" si="2">SUMIF($B$4:$B$9,M32,$E$4:$E$9)</f>
        <v>1</v>
      </c>
    </row>
    <row r="33" spans="13:15" x14ac:dyDescent="0.3">
      <c r="M33" s="6">
        <v>105</v>
      </c>
      <c r="N33" s="15" t="str">
        <f>VLOOKUP(M33,B$4:C$9,2,0)</f>
        <v>ProductE</v>
      </c>
      <c r="O33" s="15">
        <f t="shared" si="2"/>
        <v>4</v>
      </c>
    </row>
    <row r="34" spans="13:15" x14ac:dyDescent="0.3">
      <c r="M34" s="6">
        <v>106</v>
      </c>
      <c r="N34" s="15" t="str">
        <f>VLOOKUP(M34,B$4:C$9,2,0)</f>
        <v>ProductF</v>
      </c>
      <c r="O34" s="15">
        <f t="shared" si="2"/>
        <v>3</v>
      </c>
    </row>
    <row r="35" spans="13:15" x14ac:dyDescent="0.3">
      <c r="M35" s="6">
        <v>102</v>
      </c>
      <c r="N35" s="15" t="str">
        <f>VLOOKUP(M35,B$4:C$9,2,0)</f>
        <v>ProductB</v>
      </c>
      <c r="O35" s="15">
        <f t="shared" si="2"/>
        <v>5</v>
      </c>
    </row>
    <row r="36" spans="13:15" x14ac:dyDescent="0.3">
      <c r="M36" s="6">
        <v>104</v>
      </c>
      <c r="N36" s="15" t="str">
        <f>VLOOKUP(M36,B$4:C$9,2,0)</f>
        <v>ProductD</v>
      </c>
      <c r="O36" s="15">
        <f t="shared" si="2"/>
        <v>6</v>
      </c>
    </row>
  </sheetData>
  <dataValidations count="2">
    <dataValidation type="list" allowBlank="1" showInputMessage="1" showErrorMessage="1" sqref="R16" xr:uid="{9975F039-0176-495A-82A4-736BE690B49E}">
      <formula1>$X$5:$X$10</formula1>
    </dataValidation>
    <dataValidation type="list" allowBlank="1" showInputMessage="1" showErrorMessage="1" sqref="L4" xr:uid="{88FC8394-EAA0-4310-824F-60C8C2084DAC}">
      <formula1>$F$15:$F$20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2026-08-06T11:03:26Z</dcterms:created>
  <dcterms:modified xsi:type="dcterms:W3CDTF">2026-08-11T05:59:52Z</dcterms:modified>
</cp:coreProperties>
</file>